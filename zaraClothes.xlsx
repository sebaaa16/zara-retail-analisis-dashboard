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hidePivotFieldList="1" defaultThemeVersion="166925"/>
  <mc:AlternateContent xmlns:mc="http://schemas.openxmlformats.org/markup-compatibility/2006">
    <mc:Choice Requires="x15">
      <x15ac:absPath xmlns:x15ac="http://schemas.microsoft.com/office/spreadsheetml/2010/11/ac" url="https://proyectopuentecr-my.sharepoint.com/personal/sebastian_mayorga_proyecto-puente_com/Documents/"/>
    </mc:Choice>
  </mc:AlternateContent>
  <xr:revisionPtr revIDLastSave="121" documentId="8_{AF409043-0DC8-4DF4-A103-E97D7067995F}" xr6:coauthVersionLast="47" xr6:coauthVersionMax="47" xr10:uidLastSave="{BB3C989A-4271-4475-A4B7-A589548BDC13}"/>
  <bookViews>
    <workbookView xWindow="-108" yWindow="-108" windowWidth="23256" windowHeight="13176" firstSheet="3" activeTab="3" xr2:uid="{769878F5-0498-483F-A8A2-16B89258CE41}"/>
  </bookViews>
  <sheets>
    <sheet name="in" sheetId="1" r:id="rId1"/>
    <sheet name="Hoja3" sheetId="4" state="hidden" r:id="rId2"/>
    <sheet name="T.D" sheetId="2" state="hidden" r:id="rId3"/>
    <sheet name="Dashboard" sheetId="3" r:id="rId4"/>
  </sheets>
  <definedNames>
    <definedName name="SegmentaciónDeDatos_Agrupacion">#N/A</definedName>
    <definedName name="SegmentaciónDeDatos_section">#N/A</definedName>
  </definedNames>
  <calcPr calcId="191028"/>
  <pivotCaches>
    <pivotCache cacheId="410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c r="B8" i="2"/>
  <c r="E6" i="2"/>
  <c r="B7" i="2"/>
  <c r="I4" i="2"/>
  <c r="E5" i="2"/>
  <c r="E4"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E7" i="2" l="1"/>
</calcChain>
</file>

<file path=xl/sharedStrings.xml><?xml version="1.0" encoding="utf-8"?>
<sst xmlns="http://schemas.openxmlformats.org/spreadsheetml/2006/main" count="6803" uniqueCount="1133">
  <si>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</si>
  <si>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</si>
  <si>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</si>
  <si>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</si>
  <si>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</si>
  <si>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</si>
  <si>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</si>
  <si>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</si>
  <si>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</si>
  <si>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</si>
  <si>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</si>
  <si>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</si>
  <si>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</si>
  <si>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</si>
  <si>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</si>
  <si>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</si>
  <si>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Agrupacion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</si>
  <si>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</si>
  <si>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</si>
  <si>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</si>
  <si>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</si>
  <si>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</si>
  <si>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</si>
  <si>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</si>
  <si>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</si>
  <si>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</si>
  <si>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</si>
  <si>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</si>
  <si>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</si>
  <si>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</si>
  <si>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</si>
  <si>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</si>
  <si>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</si>
  <si>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</si>
  <si>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</si>
  <si>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</si>
  <si>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</si>
  <si>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</si>
  <si>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</si>
  <si>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</si>
  <si>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</si>
  <si>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</si>
  <si>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</si>
  <si>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</si>
  <si>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</si>
  <si>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</si>
  <si>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</si>
  <si>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</si>
  <si>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</si>
  <si>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</si>
  <si>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</si>
  <si>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</si>
  <si>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</si>
  <si>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</si>
  <si>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</si>
  <si>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</si>
  <si>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</si>
  <si>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</si>
  <si>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</si>
  <si>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</si>
  <si>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</si>
  <si>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</si>
  <si>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</si>
  <si>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</si>
  <si>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</si>
  <si>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</si>
  <si>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</si>
  <si>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</si>
  <si>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</si>
  <si>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</si>
  <si>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</si>
  <si>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</si>
  <si>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</si>
  <si>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</si>
  <si>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</si>
  <si>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</si>
  <si>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</si>
  <si>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</si>
  <si>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</si>
  <si>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</si>
  <si>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</si>
  <si>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</si>
  <si>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</si>
  <si>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</si>
  <si>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</si>
  <si>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</si>
  <si>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</si>
  <si>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</si>
  <si>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</si>
  <si>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</si>
  <si>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</si>
  <si>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</si>
  <si>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</si>
  <si>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</si>
  <si>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</si>
  <si>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</si>
  <si>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2024-02-19T08:50:13.771115</t>
  </si>
  <si>
    <t>https://www.zara.com/us/en/faux-leather-boxy-fit-jacket-p08281654.html</t>
  </si>
  <si>
    <t>311297555-706-2</t>
  </si>
  <si>
    <t>FAUX LEATHER BOXY FIT JACKET</t>
  </si>
  <si>
    <t>Boxy fit jacket. Lapel collar and long sleeves with buttoned cuffs. Welt pockets at hip. Front button closure.</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</si>
  <si>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</si>
  <si>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</si>
  <si>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</si>
  <si>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</si>
  <si>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</si>
  <si>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</si>
  <si>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</si>
  <si>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</si>
  <si>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</si>
  <si>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</si>
  <si>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</si>
  <si>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</si>
  <si>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</si>
  <si>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</si>
  <si>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</si>
  <si>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</si>
  <si>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</si>
  <si>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</si>
  <si>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BOUCLE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</si>
  <si>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</si>
  <si>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</si>
  <si>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</si>
  <si>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</si>
  <si>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</si>
  <si>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</si>
  <si>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</si>
  <si>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</si>
  <si>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</si>
  <si>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</si>
  <si>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</si>
  <si>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</si>
  <si>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</si>
  <si>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</si>
  <si>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</si>
  <si>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</si>
  <si>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</si>
  <si>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</si>
  <si>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</si>
  <si>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</si>
  <si>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</si>
  <si>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</si>
  <si>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</si>
  <si>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</si>
  <si>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</si>
  <si>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</si>
  <si>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</si>
  <si>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</si>
  <si>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</si>
  <si>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</si>
  <si>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</si>
  <si>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</si>
  <si>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</si>
  <si>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</si>
  <si>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</si>
  <si>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</si>
  <si>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</si>
  <si>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</si>
  <si>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</si>
  <si>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</si>
  <si>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</si>
  <si>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</si>
  <si>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</si>
  <si>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</si>
  <si>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</si>
  <si>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</si>
  <si>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</si>
  <si>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</si>
  <si>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</si>
  <si>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</si>
  <si>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</si>
  <si>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</si>
  <si>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</si>
  <si>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</si>
  <si>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</si>
  <si>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</si>
  <si>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</si>
  <si>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</si>
  <si>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</si>
  <si>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</si>
  <si>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</si>
  <si>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</si>
  <si>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</si>
  <si>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</si>
  <si>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</si>
  <si>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</si>
  <si>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</si>
  <si>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</si>
  <si>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</si>
  <si>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</si>
  <si>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</si>
  <si>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</si>
  <si>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</si>
  <si>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</si>
  <si>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</si>
  <si>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</si>
  <si>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</si>
  <si>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</si>
  <si>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</si>
  <si>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</si>
  <si>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</si>
  <si>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</si>
  <si>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</si>
  <si>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</si>
  <si>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</si>
  <si>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</si>
  <si>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</si>
  <si>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</si>
  <si>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</si>
  <si>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</si>
  <si>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</si>
  <si>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</si>
  <si>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</si>
  <si>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</si>
  <si>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</si>
  <si>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</si>
  <si>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</si>
  <si>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</si>
  <si>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</si>
  <si>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</si>
  <si>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</si>
  <si>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</si>
  <si>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</si>
  <si>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</si>
  <si>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</si>
  <si>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</si>
  <si>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</si>
  <si>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</si>
  <si>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</si>
  <si>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</si>
  <si>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</si>
  <si>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</si>
  <si>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</si>
  <si>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</si>
  <si>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</si>
  <si>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</si>
  <si>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</si>
  <si>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</si>
  <si>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</si>
  <si>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</si>
  <si>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</si>
  <si>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</si>
  <si>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</si>
  <si>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</si>
  <si>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</si>
  <si>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</si>
  <si>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</si>
  <si>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</si>
  <si>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</si>
  <si>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</si>
  <si>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</si>
  <si>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</si>
  <si>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</si>
  <si>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</si>
  <si>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</si>
  <si>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</si>
  <si>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</si>
  <si>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</si>
  <si>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</si>
  <si>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</si>
  <si>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</si>
  <si>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</si>
  <si>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</si>
  <si>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</si>
  <si>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</si>
  <si>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</si>
  <si>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</si>
  <si>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</si>
  <si>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</si>
  <si>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</si>
  <si>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</si>
  <si>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</si>
  <si>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</si>
  <si>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</si>
  <si>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</si>
  <si>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</si>
  <si>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</si>
  <si>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</si>
  <si>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</si>
  <si>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</si>
  <si>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</si>
  <si>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</si>
  <si>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</si>
  <si>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</si>
  <si>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</si>
  <si>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</si>
  <si>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</si>
  <si>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</si>
  <si>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</si>
  <si>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</si>
  <si>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</si>
  <si>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</si>
  <si>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</si>
  <si>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</si>
  <si>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</si>
  <si>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</si>
  <si>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</si>
  <si>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</si>
  <si>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</si>
  <si>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</si>
  <si>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</si>
  <si>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</si>
  <si>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</si>
  <si>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</si>
  <si>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</si>
  <si>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</si>
  <si>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</si>
  <si>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</si>
  <si>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</si>
  <si>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</si>
  <si>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</si>
  <si>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</si>
  <si>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</si>
  <si>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</si>
  <si>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</si>
  <si>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</si>
  <si>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</si>
  <si>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</si>
  <si>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</si>
  <si>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</si>
  <si>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</si>
  <si>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</si>
  <si>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</si>
  <si>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</si>
  <si>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</si>
  <si>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</si>
  <si>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</si>
  <si>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</si>
  <si>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</si>
  <si>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</si>
  <si>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</si>
  <si>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</si>
  <si>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</si>
  <si>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</si>
  <si>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</si>
  <si>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</si>
  <si>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</si>
  <si>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</si>
  <si>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</si>
  <si>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</si>
  <si>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</si>
  <si>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</si>
  <si>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</si>
  <si>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</si>
  <si>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</si>
  <si>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</si>
  <si>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</si>
  <si>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</si>
  <si>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</si>
  <si>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</si>
  <si>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</si>
  <si>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</si>
  <si>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</si>
  <si>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</si>
  <si>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</si>
  <si>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</si>
  <si>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</si>
  <si>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</si>
  <si>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</si>
  <si>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</si>
  <si>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</si>
  <si>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</si>
  <si>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</si>
  <si>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</si>
  <si>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</si>
  <si>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</si>
  <si>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</si>
  <si>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</si>
  <si>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</si>
  <si>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</si>
  <si>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</si>
  <si>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</si>
  <si>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</si>
  <si>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</si>
  <si>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</si>
  <si>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</si>
  <si>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</si>
  <si>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</si>
  <si>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</si>
  <si>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</si>
  <si>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</si>
  <si>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</si>
  <si>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</si>
  <si>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</si>
  <si>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</si>
  <si>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</si>
  <si>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</si>
  <si>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</si>
  <si>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</si>
  <si>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</si>
  <si>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</si>
  <si>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</si>
  <si>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</si>
  <si>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</si>
  <si>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</si>
  <si>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</si>
  <si>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</si>
  <si>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</si>
  <si>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</si>
  <si>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</si>
  <si>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</si>
  <si>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</si>
  <si>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</si>
  <si>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</si>
  <si>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</si>
  <si>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</si>
  <si>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</si>
  <si>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</si>
  <si>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</si>
  <si>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</si>
  <si>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</si>
  <si>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</si>
  <si>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</si>
  <si>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</si>
  <si>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</si>
  <si>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</si>
  <si>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</si>
  <si>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</si>
  <si>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</si>
  <si>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</si>
  <si>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</si>
  <si>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</si>
  <si>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</si>
  <si>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</si>
  <si>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</si>
  <si>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</si>
  <si>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</si>
  <si>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</si>
  <si>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</si>
  <si>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</si>
  <si>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</si>
  <si>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</si>
  <si>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</si>
  <si>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</si>
  <si>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</si>
  <si>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</si>
  <si>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</si>
  <si>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</si>
  <si>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</si>
  <si>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</si>
  <si>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</si>
  <si>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</si>
  <si>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</si>
  <si>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</si>
  <si>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</si>
  <si>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</si>
  <si>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</si>
  <si>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</si>
  <si>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</si>
  <si>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</si>
  <si>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</si>
  <si>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</si>
  <si>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</si>
  <si>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</si>
  <si>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</si>
  <si>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</si>
  <si>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</si>
  <si>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</si>
  <si>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</si>
  <si>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</si>
  <si>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</si>
  <si>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</si>
  <si>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</si>
  <si>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</si>
  <si>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</si>
  <si>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</si>
  <si>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</si>
  <si>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</si>
  <si>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</si>
  <si>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</si>
  <si>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</si>
  <si>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</si>
  <si>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</si>
  <si>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</si>
  <si>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</si>
  <si>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</si>
  <si>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</si>
  <si>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</si>
  <si>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</si>
  <si>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</si>
  <si>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</si>
  <si>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</si>
  <si>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</si>
  <si>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</si>
  <si>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</si>
  <si>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</si>
  <si>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</si>
  <si>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</si>
  <si>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</si>
  <si>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</si>
  <si>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</si>
  <si>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</si>
  <si>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</si>
  <si>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</si>
  <si>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</si>
  <si>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</si>
  <si>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</si>
  <si>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</si>
  <si>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</si>
  <si>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</si>
  <si>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</si>
  <si>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</si>
  <si>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</si>
  <si>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</si>
  <si>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</si>
  <si>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</si>
  <si>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</si>
  <si>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</si>
  <si>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</si>
  <si>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</si>
  <si>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</si>
  <si>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</si>
  <si>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</si>
  <si>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</si>
  <si>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</si>
  <si>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</si>
  <si>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</si>
  <si>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</si>
  <si>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</si>
  <si>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</si>
  <si>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</si>
  <si>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</si>
  <si>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</si>
  <si>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</si>
  <si>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</si>
  <si>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</si>
  <si>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</si>
  <si>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</si>
  <si>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</si>
  <si>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</si>
  <si>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</si>
  <si>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</si>
  <si>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</si>
  <si>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</si>
  <si>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</si>
  <si>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</si>
  <si>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</si>
  <si>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</si>
  <si>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</si>
  <si>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</si>
  <si>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</si>
  <si>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</si>
  <si>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</si>
  <si>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</si>
  <si>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</si>
  <si>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</si>
  <si>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</si>
  <si>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</si>
  <si>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</si>
  <si>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</si>
  <si>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</si>
  <si>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</si>
  <si>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</si>
  <si>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</si>
  <si>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</si>
  <si>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</si>
  <si>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</si>
  <si>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</si>
  <si>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</si>
  <si>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</si>
  <si>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</si>
  <si>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</si>
  <si>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</si>
  <si>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</si>
  <si>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</si>
  <si>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</si>
  <si>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</si>
  <si>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</si>
  <si>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</si>
  <si>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</si>
  <si>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</si>
  <si>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</si>
  <si>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</si>
  <si>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</si>
  <si>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</si>
  <si>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</si>
  <si>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</si>
  <si>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</si>
  <si>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</si>
  <si>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</si>
  <si>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</si>
  <si>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</si>
  <si>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</si>
  <si>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</si>
  <si>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</si>
  <si>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</si>
  <si>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</si>
  <si>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</si>
  <si>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</si>
  <si>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</si>
  <si>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</si>
  <si>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</si>
  <si>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</si>
  <si>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</si>
  <si>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</si>
  <si>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</si>
  <si>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</si>
  <si>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</si>
  <si>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</si>
  <si>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</si>
  <si>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</si>
  <si>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</si>
  <si>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</si>
  <si>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</si>
  <si>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</si>
  <si>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</si>
  <si>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</si>
  <si>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</si>
  <si>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</si>
  <si>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</si>
  <si>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</si>
  <si>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</si>
  <si>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</si>
  <si>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</si>
  <si>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</si>
  <si>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</si>
  <si>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</si>
  <si>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</si>
  <si>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</si>
  <si>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</si>
  <si>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</si>
  <si>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</si>
  <si>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</si>
  <si>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</si>
  <si>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</si>
  <si>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</si>
  <si>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</si>
  <si>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</si>
  <si>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</si>
  <si>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</si>
  <si>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</si>
  <si>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</si>
  <si>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</si>
  <si>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</si>
  <si>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</si>
  <si>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</si>
  <si>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</si>
  <si>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</si>
  <si>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</si>
  <si>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</si>
  <si>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</si>
  <si>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</si>
  <si>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</si>
  <si>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</si>
  <si>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</si>
  <si>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</si>
  <si>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</si>
  <si>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</si>
  <si>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</si>
  <si>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</si>
  <si>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</si>
  <si>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</si>
  <si>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</si>
  <si>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</si>
  <si>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</si>
  <si>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</si>
  <si>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</si>
  <si>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</si>
  <si>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</si>
  <si>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</si>
  <si>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</si>
  <si>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</si>
  <si>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</si>
  <si>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</si>
  <si>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</si>
  <si>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</si>
  <si>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</si>
  <si>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</si>
  <si>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</si>
  <si>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</si>
  <si>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</si>
  <si>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</si>
  <si>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</si>
  <si>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</si>
  <si>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</si>
  <si>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</si>
  <si>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</si>
  <si>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</si>
  <si>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</si>
  <si>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</si>
  <si>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</si>
  <si>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</si>
  <si>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</si>
  <si>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</si>
  <si>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</si>
  <si>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</si>
  <si>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</si>
  <si>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</si>
  <si>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</si>
  <si>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</si>
  <si>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</si>
  <si>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</si>
  <si>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</si>
  <si>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</si>
  <si>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</si>
  <si>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</si>
  <si>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</si>
  <si>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</si>
  <si>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</si>
  <si>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</si>
  <si>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</si>
  <si>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</si>
  <si>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</si>
  <si>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</si>
  <si>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</si>
  <si>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</si>
  <si>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</si>
  <si>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</si>
  <si>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</si>
  <si>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</si>
  <si>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</si>
  <si>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</si>
  <si>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</si>
  <si>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</si>
  <si>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</si>
  <si>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</si>
  <si>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</si>
  <si>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</si>
  <si>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</si>
  <si>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</si>
  <si>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</si>
  <si>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</si>
  <si>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</si>
  <si>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</si>
  <si>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</si>
  <si>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</si>
  <si>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</si>
  <si>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</si>
  <si>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</si>
  <si>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</si>
  <si>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</si>
  <si>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</si>
  <si>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</si>
  <si>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</si>
  <si>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</si>
  <si>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</si>
  <si>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</si>
  <si>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</si>
  <si>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</si>
  <si>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</si>
  <si>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</si>
  <si>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</si>
  <si>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</si>
  <si>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</si>
  <si>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</si>
  <si>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</si>
  <si>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</si>
  <si>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</si>
  <si>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</si>
  <si>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</si>
  <si>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</si>
  <si>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</si>
  <si>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</si>
  <si>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</si>
  <si>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</si>
  <si>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</si>
  <si>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</si>
  <si>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</si>
  <si>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</si>
  <si>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</si>
  <si>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</si>
  <si>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</si>
  <si>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</si>
  <si>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</si>
  <si>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</si>
  <si>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</si>
  <si>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</si>
  <si>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</si>
  <si>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</si>
  <si>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</si>
  <si>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</si>
  <si>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</si>
  <si>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</si>
  <si>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</si>
  <si>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</si>
  <si>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</si>
  <si>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</si>
  <si>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</si>
  <si>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</si>
  <si>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</si>
  <si>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</si>
  <si>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</si>
  <si>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</si>
  <si>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</si>
  <si>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</si>
  <si>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</si>
  <si>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</si>
  <si>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</si>
  <si>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</si>
  <si>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2024-02-19T09:10:31.877971</t>
  </si>
  <si>
    <t>sweaters</t>
  </si>
  <si>
    <t>WOMAN</t>
  </si>
  <si>
    <t>https://www.zara.com/us/en/knit-sweater-with-pearls-p02142249.html</t>
  </si>
  <si>
    <t>313890651-712-2</t>
  </si>
  <si>
    <t>KNIT SWEATER WITH PEARLS</t>
  </si>
  <si>
    <t>Sweater made with 22% wool and 10% alpaca. Round neck and long sleeves. Faux pearl appliquÃ©.</t>
  </si>
  <si>
    <t>2024-02-19T09:10:32.534246</t>
  </si>
  <si>
    <t>https://www.zara.com/us/en/high-collar-knit-sweater-p01509118.html</t>
  </si>
  <si>
    <t>287414911-803-2</t>
  </si>
  <si>
    <t>HIGH COLLAR KNIT SWEATER</t>
  </si>
  <si>
    <t>Sweater with high collar and long sleeves. Front pocket. Side vents at hem. Rib trim.</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</si>
  <si>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</si>
  <si>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</si>
  <si>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</si>
  <si>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</si>
  <si>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</si>
  <si>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</si>
  <si>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</si>
  <si>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</si>
  <si>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</si>
  <si>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</si>
  <si>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</si>
  <si>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</si>
  <si>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</si>
  <si>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</si>
  <si>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</si>
  <si>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</si>
  <si>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</si>
  <si>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</si>
  <si>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</si>
  <si>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</si>
  <si>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</si>
  <si>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</si>
  <si>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</si>
  <si>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</si>
  <si>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</si>
  <si>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</si>
  <si>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</si>
  <si>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</si>
  <si>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</si>
  <si>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</si>
  <si>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</si>
  <si>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</si>
  <si>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</si>
  <si>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</si>
  <si>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</si>
  <si>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</si>
  <si>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</si>
  <si>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</si>
  <si>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</si>
  <si>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</si>
  <si>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</si>
  <si>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</si>
  <si>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</si>
  <si>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</si>
  <si>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</si>
  <si>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</si>
  <si>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</si>
  <si>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</si>
  <si>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</si>
  <si>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</si>
  <si>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</si>
  <si>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</si>
  <si>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</si>
  <si>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</si>
  <si>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appliquÃ©s and long sleeves.</t>
  </si>
  <si>
    <t>2024-02-19T09:10:39.911179</t>
  </si>
  <si>
    <t>https://www.zara.com/us/en/faux-fur-jewel-sweater-p07901339.html</t>
  </si>
  <si>
    <t>324814227-400-2</t>
  </si>
  <si>
    <t>FAUX FUR JEWEL SWEATER</t>
  </si>
  <si>
    <t>Round neck short sleeve sweater. Soft feel faux fur fabric. Jewel appliquÃ©s.</t>
  </si>
  <si>
    <t>2024-02-19T09:10:40.681401</t>
  </si>
  <si>
    <t>https://www.zara.com/us/en/metal-bead-knit-sweater-p03920018.html</t>
  </si>
  <si>
    <t>323218942-800-2</t>
  </si>
  <si>
    <t>METAL BEAD KNIT SWEATER</t>
  </si>
  <si>
    <t>Round neck long sleeve sweater. Side slit at hem with metal bead appliquÃ©s.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</si>
  <si>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</si>
  <si>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</si>
  <si>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</si>
  <si>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</si>
  <si>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</si>
  <si>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</si>
  <si>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</si>
  <si>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</si>
  <si>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</si>
  <si>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appliquÃ©s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</si>
  <si>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</si>
  <si>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</si>
  <si>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</si>
  <si>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</si>
  <si>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</si>
  <si>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</si>
  <si>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</si>
  <si>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</si>
  <si>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</si>
  <si>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</si>
  <si>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</si>
  <si>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</si>
  <si>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</si>
  <si>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</si>
  <si>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</si>
  <si>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</si>
  <si>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</si>
  <si>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</si>
  <si>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</si>
  <si>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</si>
  <si>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</si>
  <si>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</si>
  <si>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</si>
  <si>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</si>
  <si>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</si>
  <si>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</si>
  <si>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</si>
  <si>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</si>
  <si>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</si>
  <si>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</si>
  <si>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</si>
  <si>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</si>
  <si>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</si>
  <si>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</si>
  <si>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</si>
  <si>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</si>
  <si>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</si>
  <si>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</si>
  <si>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</si>
  <si>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</si>
  <si>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</si>
  <si>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</si>
  <si>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</si>
  <si>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</si>
  <si>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</si>
  <si>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</si>
  <si>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</si>
  <si>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</si>
  <si>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</si>
  <si>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</si>
  <si>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</si>
  <si>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</si>
  <si>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</si>
  <si>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</si>
  <si>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</si>
  <si>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</si>
  <si>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</si>
  <si>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</si>
  <si>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</si>
  <si>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</si>
  <si>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</si>
  <si>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</si>
  <si>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</si>
  <si>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</si>
  <si>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</si>
  <si>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</si>
  <si>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</si>
  <si>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</si>
  <si>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</si>
  <si>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</si>
  <si>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</si>
  <si>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</si>
  <si>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</si>
  <si>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</si>
  <si>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appliquÃ©s. Back button closure.</t>
  </si>
  <si>
    <t>2024-02-19T09:10:51.785857</t>
  </si>
  <si>
    <t>https://www.zara.com/us/en/knit-pearl-sweater-p04331165.html</t>
  </si>
  <si>
    <t>318131967-800-2</t>
  </si>
  <si>
    <t>KNIT PEARL SWEATER</t>
  </si>
  <si>
    <t>Round neck long sleeve sweater. Tonal pearl appliquÃ©s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</si>
  <si>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</si>
  <si>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</si>
  <si>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</si>
  <si>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</si>
  <si>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</si>
  <si>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</si>
  <si>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</si>
  <si>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</si>
  <si>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</si>
  <si>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</si>
  <si>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</si>
  <si>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</si>
  <si>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</si>
  <si>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</si>
  <si>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</si>
  <si>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</si>
  <si>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</si>
  <si>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</si>
  <si>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</si>
  <si>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</si>
  <si>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</si>
  <si>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</si>
  <si>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</si>
  <si>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</si>
  <si>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</si>
  <si>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</si>
  <si>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</si>
  <si>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</si>
  <si>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</si>
  <si>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</si>
  <si>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</si>
  <si>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</si>
  <si>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</si>
  <si>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</si>
  <si>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</si>
  <si>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</si>
  <si>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</si>
  <si>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</si>
  <si>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</si>
  <si>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</si>
  <si>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</si>
  <si>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</si>
  <si>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</si>
  <si>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</si>
  <si>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</si>
  <si>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</si>
  <si>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</si>
  <si>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</si>
  <si>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</si>
  <si>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</si>
  <si>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</si>
  <si>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</si>
  <si>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</si>
  <si>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</si>
  <si>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</si>
  <si>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</si>
  <si>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</si>
  <si>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</si>
  <si>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</si>
  <si>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</si>
  <si>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</si>
  <si>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</si>
  <si>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</si>
  <si>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</si>
  <si>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</si>
  <si>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</si>
  <si>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</si>
  <si>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</si>
  <si>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</si>
  <si>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</si>
  <si>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</si>
  <si>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</si>
  <si>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</si>
  <si>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</si>
  <si>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</si>
  <si>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</si>
  <si>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</si>
  <si>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</si>
  <si>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</si>
  <si>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</si>
  <si>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</si>
  <si>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</si>
  <si>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</si>
  <si>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</si>
  <si>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</si>
  <si>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</si>
  <si>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</si>
  <si>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</si>
  <si>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</si>
  <si>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</si>
  <si>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</si>
  <si>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</si>
  <si>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</si>
  <si>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</si>
  <si>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</si>
  <si>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</si>
  <si>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</si>
  <si>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</si>
  <si>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</si>
  <si>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</si>
  <si>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</si>
  <si>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</si>
  <si>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</si>
  <si>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</si>
  <si>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</si>
  <si>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</si>
  <si>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</si>
  <si>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</si>
  <si>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</si>
  <si>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</si>
  <si>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</si>
  <si>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</si>
  <si>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</si>
  <si>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</si>
  <si>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</si>
  <si>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</si>
  <si>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</si>
  <si>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</si>
  <si>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</si>
  <si>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</si>
  <si>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</si>
  <si>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</si>
  <si>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</si>
  <si>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</si>
  <si>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</si>
  <si>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</si>
  <si>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</si>
  <si>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</si>
  <si>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</si>
  <si>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</si>
  <si>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</si>
  <si>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</si>
  <si>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</si>
  <si>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</si>
  <si>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</si>
  <si>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</si>
  <si>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</si>
  <si>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</si>
  <si>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</si>
  <si>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</si>
  <si>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</si>
  <si>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</si>
  <si>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</si>
  <si>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</si>
  <si>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</si>
  <si>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</si>
  <si>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</si>
  <si>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</si>
  <si>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</si>
  <si>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</si>
  <si>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</si>
  <si>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</si>
  <si>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</si>
  <si>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</si>
  <si>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</si>
  <si>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</si>
  <si>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</si>
  <si>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</si>
  <si>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</si>
  <si>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</si>
  <si>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</si>
  <si>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</si>
  <si>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</si>
  <si>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</si>
  <si>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</si>
  <si>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</si>
  <si>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</si>
  <si>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</si>
  <si>
    <t>Low Cost</t>
  </si>
  <si>
    <t>Premium</t>
  </si>
  <si>
    <t>Estándar</t>
  </si>
  <si>
    <t>(Todas)</t>
  </si>
  <si>
    <t>Etiquetas de fila</t>
  </si>
  <si>
    <t>Promedio de price</t>
  </si>
  <si>
    <t>Cuenta de price</t>
  </si>
  <si>
    <t>Cuenta de Agrupacion</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</si>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</sst>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 #,##0.00_-;\-&quot;$&quot;\ * #,##0.00_-;_-&quot;$&quot;\ * &quot;-&quot;??_-;_-@_-"/>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42" applyNumberFormat="1" applyFont="1"/>
    <xf numFmtId="0" fontId="0" fillId="0" borderId="0" xfId="0" pivotButton="1"/>
    <xf numFmtId="0" fontId="0" fillId="0" borderId="0" xfId="0" applyAlignment="1">
      <alignment horizontal="left"/>
    </xf>
    <xf numFmtId="9" fontId="0" fillId="0" borderId="0" xfId="43" applyFont="1"/>
    <xf numFmtId="164" fontId="0" fillId="0" borderId="0" xfId="0" applyNumberFormat="1"/>
    <xf numFmtId="0" fontId="0" fillId="33" borderId="0" xfId="0" applyFill="1"/>
    <xf numFmtId="164" fontId="0" fillId="0" borderId="0" xfId="42" applyFont="1"/>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oneda" xfId="42" builtinId="4"/>
    <cellStyle name="Neutral" xfId="8" builtinId="28" customBuiltin="1"/>
    <cellStyle name="Normal" xfId="0" builtinId="0"/>
    <cellStyle name="Notas" xfId="15" builtinId="10" customBuiltin="1"/>
    <cellStyle name="Porcentaje" xfId="43"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
    <dxf>
      <numFmt numFmtId="0" formatCode="General"/>
    </dxf>
    <dxf>
      <numFmt numFmtId="0" formatCode="General"/>
    </dxf>
    <dxf>
      <numFmt numFmtId="0" formatCode="General"/>
    </dxf>
    <dxf>
      <numFmt numFmtId="164" formatCode="_-&quot;$&quot;\ * #,##0.00_-;\-&quot;$&quot;\ * #,##0.00_-;_-&quot;$&quot;\ * &quot;-&quot;??_-;_-@_-"/>
    </dxf>
    <dxf>
      <numFmt numFmtId="164" formatCode="_-&quot;$&quot;\ * #,##0.00_-;\-&quot;$&quot;\ * #,##0.00_-;_-&quot;$&quot;\ * &quot;-&quot;??_-;_-@_-"/>
    </dxf>
  </dxfs>
  <tableStyles count="1" defaultTableStyle="TableStyleMedium2" defaultPivotStyle="PivotStyleLight16">
    <tableStyle name="Estilo de segmentación de datos 1" pivot="0" table="0" count="1" xr9:uid="{FFD42896-5CB3-485D-A000-8F42E87B3BC6}"/>
  </tableStyles>
  <colors>
    <mruColors>
      <color rgb="FFFF66CC"/>
      <color rgb="FFBC00B8"/>
    </mruColors>
  </colors>
  <extLst>
    <ext xmlns:x14="http://schemas.microsoft.com/office/spreadsheetml/2009/9/main" uri="{46F421CA-312F-682f-3DD2-61675219B42D}">
      <x14:dxfs count="1">
        <dxf>
          <font>
            <color theme="2" tint="-0.499984740745262"/>
          </font>
        </dxf>
      </x14:dxfs>
    </ext>
    <ext xmlns:x14="http://schemas.microsoft.com/office/spreadsheetml/2009/9/main" uri="{EB79DEF2-80B8-43e5-95BD-54CBDDF9020C}">
      <x14:slicerStyles defaultSlicerStyle="SlicerStyleLight1">
        <x14:slicerStyle name="Estilo de segmentación de datos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[zaraClothes.xlsx]T.D!TablaDinámica1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13460877294491544"/>
          <c:w val="0.89019685039370078"/>
          <c:h val="0.75096685198695212"/>
        </c:manualLayout>
      </c:layout>
      <c:barChart>
        <c:barDir val="col"/>
        <c:grouping val="clustered"/>
        <c:varyColors val="0"/>
        <c:ser>
          <c:idx val="0"/>
          <c:order val="0"/>
          <c:tx>
            <c:strRef>
              <c:f>T.D!$B$3</c:f>
              <c:strCache>
                <c:ptCount val="1"/>
                <c:pt idx="0">
                  <c:v>Promedio de price</c:v>
                </c:pt>
              </c:strCache>
            </c:strRef>
          </c:tx>
          <c:spPr>
            <a:solidFill>
              <a:srgbClr val="FF66CC"/>
            </a:solidFill>
            <a:ln>
              <a:noFill/>
            </a:ln>
            <a:effectLst/>
          </c:spPr>
          <c:invertIfNegative val="0"/>
          <c:cat>
            <c:strRef>
              <c:f>T.D!$A$4:$A$6</c:f>
              <c:strCache>
                <c:ptCount val="2"/>
                <c:pt idx="0">
                  <c:v>MAN</c:v>
                </c:pt>
                <c:pt idx="1">
                  <c:v>WOMAN</c:v>
                </c:pt>
              </c:strCache>
            </c:strRef>
          </c:cat>
          <c:val>
            <c:numRef>
              <c:f>T.D!$B$4:$B$6</c:f>
              <c:numCache>
                <c:formatCode>General</c:formatCode>
                <c:ptCount val="2"/>
                <c:pt idx="0">
                  <c:v>90.693333333333371</c:v>
                </c:pt>
                <c:pt idx="1">
                  <c:v>50.52588235294121</c:v>
                </c:pt>
              </c:numCache>
            </c:numRef>
          </c:val>
          <c:extLst>
            <c:ext xmlns:c16="http://schemas.microsoft.com/office/drawing/2014/chart" uri="{C3380CC4-5D6E-409C-BE32-E72D297353CC}">
              <c16:uniqueId val="{00000000-3848-4FA6-BBF6-48BEB4D316C2}"/>
            </c:ext>
          </c:extLst>
        </c:ser>
        <c:ser>
          <c:idx val="1"/>
          <c:order val="1"/>
          <c:tx>
            <c:strRef>
              <c:f>T.D!$C$3</c:f>
              <c:strCache>
                <c:ptCount val="1"/>
                <c:pt idx="0">
                  <c:v>Cuenta de price</c:v>
                </c:pt>
              </c:strCache>
            </c:strRef>
          </c:tx>
          <c:spPr>
            <a:solidFill>
              <a:schemeClr val="bg2">
                <a:lumMod val="50000"/>
              </a:schemeClr>
            </a:solidFill>
            <a:ln>
              <a:noFill/>
            </a:ln>
            <a:effectLst/>
          </c:spPr>
          <c:invertIfNegative val="0"/>
          <c:cat>
            <c:strRef>
              <c:f>T.D!$A$4:$A$6</c:f>
              <c:strCache>
                <c:ptCount val="2"/>
                <c:pt idx="0">
                  <c:v>MAN</c:v>
                </c:pt>
                <c:pt idx="1">
                  <c:v>WOMAN</c:v>
                </c:pt>
              </c:strCache>
            </c:strRef>
          </c:cat>
          <c:val>
            <c:numRef>
              <c:f>T.D!$C$4:$C$6</c:f>
              <c:numCache>
                <c:formatCode>General</c:formatCode>
                <c:ptCount val="2"/>
                <c:pt idx="0">
                  <c:v>216</c:v>
                </c:pt>
                <c:pt idx="1">
                  <c:v>34</c:v>
                </c:pt>
              </c:numCache>
            </c:numRef>
          </c:val>
          <c:extLst>
            <c:ext xmlns:c16="http://schemas.microsoft.com/office/drawing/2014/chart" uri="{C3380CC4-5D6E-409C-BE32-E72D297353CC}">
              <c16:uniqueId val="{00000001-3848-4FA6-BBF6-48BEB4D316C2}"/>
            </c:ext>
          </c:extLst>
        </c:ser>
        <c:dLbls>
          <c:showLegendKey val="0"/>
          <c:showVal val="0"/>
          <c:showCatName val="0"/>
          <c:showSerName val="0"/>
          <c:showPercent val="0"/>
          <c:showBubbleSize val="0"/>
        </c:dLbls>
        <c:gapWidth val="219"/>
        <c:overlap val="-27"/>
        <c:axId val="1247127040"/>
        <c:axId val="1247124544"/>
      </c:barChart>
      <c:catAx>
        <c:axId val="124712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7124544"/>
        <c:crosses val="autoZero"/>
        <c:auto val="1"/>
        <c:lblAlgn val="ctr"/>
        <c:lblOffset val="100"/>
        <c:noMultiLvlLbl val="0"/>
      </c:catAx>
      <c:valAx>
        <c:axId val="124712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7127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ysClr val="windowText" lastClr="000000"/>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[zaraClothes.xlsx]T.D!TablaDinámica2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1" i="0" u="none" strike="noStrike" baseline="0"/>
              <a:t>% de Distribución por Segmento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C00B8"/>
          </a:solidFill>
          <a:ln w="19050">
            <a:solidFill>
              <a:schemeClr val="lt1"/>
            </a:solidFill>
          </a:ln>
          <a:effectLst/>
        </c:spPr>
      </c:pivotFmt>
      <c:pivotFmt>
        <c:idx val="7"/>
        <c:spPr>
          <a:solidFill>
            <a:srgbClr val="FF66CC"/>
          </a:solidFill>
          <a:ln w="19050">
            <a:solidFill>
              <a:schemeClr val="lt1"/>
            </a:solidFill>
          </a:ln>
          <a:effectLst/>
        </c:spPr>
      </c:pivotFmt>
      <c:pivotFmt>
        <c:idx val="8"/>
        <c:spPr>
          <a:solidFill>
            <a:schemeClr val="bg2">
              <a:lumMod val="50000"/>
            </a:schemeClr>
          </a:solidFill>
          <a:ln w="19050">
            <a:solidFill>
              <a:schemeClr val="lt1"/>
            </a:solidFill>
          </a:ln>
          <a:effectLst/>
        </c:spPr>
      </c:pivotFmt>
    </c:pivotFmts>
    <c:plotArea>
      <c:layout/>
      <c:doughnutChart>
        <c:varyColors val="1"/>
        <c:ser>
          <c:idx val="0"/>
          <c:order val="0"/>
          <c:tx>
            <c:strRef>
              <c:f>T.D!$G$3</c:f>
              <c:strCache>
                <c:ptCount val="1"/>
                <c:pt idx="0">
                  <c:v>Total</c:v>
                </c:pt>
              </c:strCache>
            </c:strRef>
          </c:tx>
          <c:dPt>
            <c:idx val="0"/>
            <c:bubble3D val="0"/>
            <c:spPr>
              <a:solidFill>
                <a:srgbClr val="BC00B8"/>
              </a:solidFill>
              <a:ln w="19050">
                <a:solidFill>
                  <a:schemeClr val="lt1"/>
                </a:solidFill>
              </a:ln>
              <a:effectLst/>
            </c:spPr>
            <c:extLst>
              <c:ext xmlns:c16="http://schemas.microsoft.com/office/drawing/2014/chart" uri="{C3380CC4-5D6E-409C-BE32-E72D297353CC}">
                <c16:uniqueId val="{00000001-9CC8-4CA9-9E75-28957A400C19}"/>
              </c:ext>
            </c:extLst>
          </c:dPt>
          <c:dPt>
            <c:idx val="1"/>
            <c:bubble3D val="0"/>
            <c:spPr>
              <a:solidFill>
                <a:srgbClr val="FF66CC"/>
              </a:solidFill>
              <a:ln w="19050">
                <a:solidFill>
                  <a:schemeClr val="lt1"/>
                </a:solidFill>
              </a:ln>
              <a:effectLst/>
            </c:spPr>
            <c:extLst>
              <c:ext xmlns:c16="http://schemas.microsoft.com/office/drawing/2014/chart" uri="{C3380CC4-5D6E-409C-BE32-E72D297353CC}">
                <c16:uniqueId val="{00000003-9CC8-4CA9-9E75-28957A400C19}"/>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9CC8-4CA9-9E75-28957A400C19}"/>
              </c:ext>
            </c:extLst>
          </c:dPt>
          <c:cat>
            <c:strRef>
              <c:f>T.D!$F$4:$F$7</c:f>
              <c:strCache>
                <c:ptCount val="3"/>
                <c:pt idx="0">
                  <c:v>Estándar</c:v>
                </c:pt>
                <c:pt idx="1">
                  <c:v>Low Cost</c:v>
                </c:pt>
                <c:pt idx="2">
                  <c:v>Premium</c:v>
                </c:pt>
              </c:strCache>
            </c:strRef>
          </c:cat>
          <c:val>
            <c:numRef>
              <c:f>T.D!$G$4:$G$7</c:f>
              <c:numCache>
                <c:formatCode>General</c:formatCode>
                <c:ptCount val="3"/>
                <c:pt idx="0">
                  <c:v>55</c:v>
                </c:pt>
                <c:pt idx="1">
                  <c:v>16</c:v>
                </c:pt>
                <c:pt idx="2">
                  <c:v>179</c:v>
                </c:pt>
              </c:numCache>
            </c:numRef>
          </c:val>
          <c:extLst>
            <c:ext xmlns:c16="http://schemas.microsoft.com/office/drawing/2014/chart" uri="{C3380CC4-5D6E-409C-BE32-E72D297353CC}">
              <c16:uniqueId val="{00000006-9CC8-4CA9-9E75-28957A400C1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ysClr val="windowText" lastClr="000000"/>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[zaraClothes.xlsx]T.D!TablaDinámica4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T.D!$B$11</c:f>
              <c:strCache>
                <c:ptCount val="1"/>
                <c:pt idx="0">
                  <c:v>Total</c:v>
                </c:pt>
              </c:strCache>
            </c:strRef>
          </c:tx>
          <c:spPr>
            <a:solidFill>
              <a:srgbClr val="FF66CC"/>
            </a:solidFill>
            <a:ln>
              <a:noFill/>
            </a:ln>
            <a:effectLst/>
          </c:spPr>
          <c:invertIfNegative val="0"/>
          <c:cat>
            <c:strRef>
              <c:f>T.D!$A$12:$A$14</c:f>
              <c:strCache>
                <c:ptCount val="2"/>
                <c:pt idx="0">
                  <c:v>MAN</c:v>
                </c:pt>
                <c:pt idx="1">
                  <c:v>WOMAN</c:v>
                </c:pt>
              </c:strCache>
            </c:strRef>
          </c:cat>
          <c:val>
            <c:numRef>
              <c:f>T.D!$B$12:$B$14</c:f>
              <c:numCache>
                <c:formatCode>General</c:formatCode>
                <c:ptCount val="2"/>
                <c:pt idx="0">
                  <c:v>90.693333333333371</c:v>
                </c:pt>
                <c:pt idx="1">
                  <c:v>50.52588235294121</c:v>
                </c:pt>
              </c:numCache>
            </c:numRef>
          </c:val>
          <c:extLst>
            <c:ext xmlns:c16="http://schemas.microsoft.com/office/drawing/2014/chart" uri="{C3380CC4-5D6E-409C-BE32-E72D297353CC}">
              <c16:uniqueId val="{00000000-CD11-44D8-AB96-C9273D612668}"/>
            </c:ext>
          </c:extLst>
        </c:ser>
        <c:dLbls>
          <c:showLegendKey val="0"/>
          <c:showVal val="0"/>
          <c:showCatName val="0"/>
          <c:showSerName val="0"/>
          <c:showPercent val="0"/>
          <c:showBubbleSize val="0"/>
        </c:dLbls>
        <c:gapWidth val="182"/>
        <c:axId val="1786418447"/>
        <c:axId val="1786420111"/>
      </c:barChart>
      <c:catAx>
        <c:axId val="178641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86420111"/>
        <c:crosses val="autoZero"/>
        <c:auto val="1"/>
        <c:lblAlgn val="ctr"/>
        <c:lblOffset val="100"/>
        <c:noMultiLvlLbl val="0"/>
      </c:catAx>
      <c:valAx>
        <c:axId val="178642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86418447"/>
        <c:crosses val="autoZero"/>
        <c:crossBetween val="between"/>
      </c:valAx>
      <c:spPr>
        <a:noFill/>
        <a:ln w="25400">
          <a:noFill/>
        </a:ln>
        <a:effectLst>
          <a:glow rad="127000">
            <a:schemeClr val="accent1"/>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ysClr val="windowText" lastClr="000000"/>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180975</xdr:colOff>
      <xdr:row>4</xdr:row>
      <xdr:rowOff>104775</xdr:rowOff>
    </xdr:from>
    <xdr:to>
      <xdr:col>12</xdr:col>
      <xdr:colOff>647700</xdr:colOff>
      <xdr:row>13</xdr:row>
      <xdr:rowOff>142875</xdr:rowOff>
    </xdr:to>
    <mc:AlternateContent xmlns:mc="http://schemas.openxmlformats.org/markup-compatibility/2006" xmlns:a14="http://schemas.microsoft.com/office/drawing/2010/main">
      <mc:Choice Requires="a14">
        <xdr:graphicFrame macro="">
          <xdr:nvGraphicFramePr>
            <xdr:cNvPr id="2" name="Agrupacion">
              <a:extLst>
                <a:ext uri="{FF2B5EF4-FFF2-40B4-BE49-F238E27FC236}">
                  <a16:creationId xmlns:a16="http://schemas.microsoft.com/office/drawing/2014/main" id="{C9157034-AF35-45DF-9152-CFA6CFB0D8B0}"/>
                </a:ext>
              </a:extLst>
            </xdr:cNvPr>
            <xdr:cNvGraphicFramePr/>
          </xdr:nvGraphicFramePr>
          <xdr:xfrm>
            <a:off x="0" y="0"/>
            <a:ext cx="0" cy="0"/>
          </xdr:xfrm>
          <a:graphic>
            <a:graphicData uri="http://schemas.microsoft.com/office/drawing/2010/slicer">
              <sle:slicer xmlns:sle="http://schemas.microsoft.com/office/drawing/2010/slicer" name="Agrupacion"/>
            </a:graphicData>
          </a:graphic>
        </xdr:graphicFrame>
      </mc:Choice>
      <mc:Fallback xmlns="">
        <xdr:sp macro="" textlink="">
          <xdr:nvSpPr>
            <xdr:cNvPr id="0" name=""/>
            <xdr:cNvSpPr>
              <a:spLocks noTextEdit="1"/>
            </xdr:cNvSpPr>
          </xdr:nvSpPr>
          <xdr:spPr>
            <a:xfrm>
              <a:off x="4168140" y="1295401"/>
              <a:ext cx="1828800" cy="1249679"/>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10</xdr:col>
      <xdr:colOff>190500</xdr:colOff>
      <xdr:row>13</xdr:row>
      <xdr:rowOff>142875</xdr:rowOff>
    </xdr:from>
    <xdr:to>
      <xdr:col>12</xdr:col>
      <xdr:colOff>647700</xdr:colOff>
      <xdr:row>21</xdr:row>
      <xdr:rowOff>133350</xdr:rowOff>
    </xdr:to>
    <mc:AlternateContent xmlns:mc="http://schemas.openxmlformats.org/markup-compatibility/2006" xmlns:a14="http://schemas.microsoft.com/office/drawing/2010/main">
      <mc:Choice Requires="a14">
        <xdr:graphicFrame macro="">
          <xdr:nvGraphicFramePr>
            <xdr:cNvPr id="3" name="section">
              <a:extLst>
                <a:ext uri="{FF2B5EF4-FFF2-40B4-BE49-F238E27FC236}">
                  <a16:creationId xmlns:a16="http://schemas.microsoft.com/office/drawing/2014/main" id="{08BAB7CF-4230-42B1-A8E8-BE24360177AF}"/>
                </a:ext>
                <a:ext uri="{147F2762-F138-4A5C-976F-8EAC2B608ADB}">
                  <a16:predDERef xmlns:a16="http://schemas.microsoft.com/office/drawing/2014/main" pred="{C9157034-AF35-45DF-9152-CFA6CFB0D8B0}"/>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5996940" y="1569720"/>
              <a:ext cx="1828800" cy="94488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0</xdr:colOff>
      <xdr:row>4</xdr:row>
      <xdr:rowOff>171450</xdr:rowOff>
    </xdr:from>
    <xdr:to>
      <xdr:col>5</xdr:col>
      <xdr:colOff>200025</xdr:colOff>
      <xdr:row>36</xdr:row>
      <xdr:rowOff>66675</xdr:rowOff>
    </xdr:to>
    <xdr:graphicFrame macro="">
      <xdr:nvGraphicFramePr>
        <xdr:cNvPr id="4" name="Gráfico 3">
          <a:extLst>
            <a:ext uri="{FF2B5EF4-FFF2-40B4-BE49-F238E27FC236}">
              <a16:creationId xmlns:a16="http://schemas.microsoft.com/office/drawing/2014/main" id="{558161A8-54E5-4E33-9D00-010250087FEE}"/>
            </a:ext>
            <a:ext uri="{147F2762-F138-4A5C-976F-8EAC2B608ADB}">
              <a16:predDERef xmlns:a16="http://schemas.microsoft.com/office/drawing/2014/main" pred="{08BAB7CF-4230-42B1-A8E8-BE2436017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4</xdr:row>
      <xdr:rowOff>152400</xdr:rowOff>
    </xdr:from>
    <xdr:to>
      <xdr:col>10</xdr:col>
      <xdr:colOff>190500</xdr:colOff>
      <xdr:row>21</xdr:row>
      <xdr:rowOff>142875</xdr:rowOff>
    </xdr:to>
    <xdr:graphicFrame macro="">
      <xdr:nvGraphicFramePr>
        <xdr:cNvPr id="7" name="Gráfico 6">
          <a:extLst>
            <a:ext uri="{FF2B5EF4-FFF2-40B4-BE49-F238E27FC236}">
              <a16:creationId xmlns:a16="http://schemas.microsoft.com/office/drawing/2014/main" id="{D486C374-E20C-4D70-9FB5-81BD1F6E7CB5}"/>
            </a:ext>
            <a:ext uri="{147F2762-F138-4A5C-976F-8EAC2B608ADB}">
              <a16:predDERef xmlns:a16="http://schemas.microsoft.com/office/drawing/2014/main" pred="{558161A8-54E5-4E33-9D00-010250087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xdr:row>
      <xdr:rowOff>167640</xdr:rowOff>
    </xdr:from>
    <xdr:to>
      <xdr:col>2</xdr:col>
      <xdr:colOff>548640</xdr:colOff>
      <xdr:row>4</xdr:row>
      <xdr:rowOff>121920</xdr:rowOff>
    </xdr:to>
    <xdr:sp macro="" textlink="">
      <xdr:nvSpPr>
        <xdr:cNvPr id="11" name="Rectángulo 10">
          <a:extLst>
            <a:ext uri="{FF2B5EF4-FFF2-40B4-BE49-F238E27FC236}">
              <a16:creationId xmlns:a16="http://schemas.microsoft.com/office/drawing/2014/main" id="{61568F51-B544-43A6-A38A-368ABD30B0C1}"/>
            </a:ext>
          </a:extLst>
        </xdr:cNvPr>
        <xdr:cNvSpPr/>
      </xdr:nvSpPr>
      <xdr:spPr>
        <a:xfrm>
          <a:off x="114300" y="350520"/>
          <a:ext cx="2019300" cy="502920"/>
        </a:xfrm>
        <a:prstGeom prst="rect">
          <a:avLst/>
        </a:prstGeom>
        <a:solidFill>
          <a:srgbClr val="FF66CC"/>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250</a:t>
          </a:r>
        </a:p>
      </xdr:txBody>
    </xdr:sp>
    <xdr:clientData/>
  </xdr:twoCellAnchor>
  <xdr:twoCellAnchor>
    <xdr:from>
      <xdr:col>0</xdr:col>
      <xdr:colOff>114300</xdr:colOff>
      <xdr:row>0</xdr:row>
      <xdr:rowOff>60960</xdr:rowOff>
    </xdr:from>
    <xdr:to>
      <xdr:col>2</xdr:col>
      <xdr:colOff>548640</xdr:colOff>
      <xdr:row>2</xdr:row>
      <xdr:rowOff>22860</xdr:rowOff>
    </xdr:to>
    <xdr:sp macro="" textlink="">
      <xdr:nvSpPr>
        <xdr:cNvPr id="12" name="Rectángulo 11">
          <a:extLst>
            <a:ext uri="{FF2B5EF4-FFF2-40B4-BE49-F238E27FC236}">
              <a16:creationId xmlns:a16="http://schemas.microsoft.com/office/drawing/2014/main" id="{213B5B3B-8950-4CEF-A7DA-E441EF48C8C7}"/>
            </a:ext>
          </a:extLst>
        </xdr:cNvPr>
        <xdr:cNvSpPr/>
      </xdr:nvSpPr>
      <xdr:spPr>
        <a:xfrm>
          <a:off x="114300" y="60960"/>
          <a:ext cx="2019300" cy="32766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AR" sz="1600" b="1"/>
            <a:t>TOTAL PRODUCTOS</a:t>
          </a:r>
        </a:p>
      </xdr:txBody>
    </xdr:sp>
    <xdr:clientData/>
  </xdr:twoCellAnchor>
  <xdr:twoCellAnchor>
    <xdr:from>
      <xdr:col>3</xdr:col>
      <xdr:colOff>152400</xdr:colOff>
      <xdr:row>0</xdr:row>
      <xdr:rowOff>68580</xdr:rowOff>
    </xdr:from>
    <xdr:to>
      <xdr:col>5</xdr:col>
      <xdr:colOff>746760</xdr:colOff>
      <xdr:row>2</xdr:row>
      <xdr:rowOff>22860</xdr:rowOff>
    </xdr:to>
    <xdr:sp macro="" textlink="">
      <xdr:nvSpPr>
        <xdr:cNvPr id="13" name="Rectángulo 12">
          <a:extLst>
            <a:ext uri="{FF2B5EF4-FFF2-40B4-BE49-F238E27FC236}">
              <a16:creationId xmlns:a16="http://schemas.microsoft.com/office/drawing/2014/main" id="{ACB4B090-9C55-4676-BBA1-99E5BF24D48E}"/>
            </a:ext>
          </a:extLst>
        </xdr:cNvPr>
        <xdr:cNvSpPr/>
      </xdr:nvSpPr>
      <xdr:spPr>
        <a:xfrm>
          <a:off x="2529840" y="68580"/>
          <a:ext cx="2179320" cy="320040"/>
        </a:xfrm>
        <a:prstGeom prst="rect">
          <a:avLst/>
        </a:prstGeom>
        <a:solidFill>
          <a:schemeClr val="bg2">
            <a:lumMod val="5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AR" sz="1600" b="1"/>
            <a:t>PRECIO PROMEDIO</a:t>
          </a:r>
        </a:p>
      </xdr:txBody>
    </xdr:sp>
    <xdr:clientData/>
  </xdr:twoCellAnchor>
  <xdr:twoCellAnchor>
    <xdr:from>
      <xdr:col>3</xdr:col>
      <xdr:colOff>152400</xdr:colOff>
      <xdr:row>2</xdr:row>
      <xdr:rowOff>15240</xdr:rowOff>
    </xdr:from>
    <xdr:to>
      <xdr:col>5</xdr:col>
      <xdr:colOff>746760</xdr:colOff>
      <xdr:row>4</xdr:row>
      <xdr:rowOff>114300</xdr:rowOff>
    </xdr:to>
    <xdr:sp macro="" textlink="">
      <xdr:nvSpPr>
        <xdr:cNvPr id="14" name="Rectángulo 13">
          <a:extLst>
            <a:ext uri="{FF2B5EF4-FFF2-40B4-BE49-F238E27FC236}">
              <a16:creationId xmlns:a16="http://schemas.microsoft.com/office/drawing/2014/main" id="{0386EF5E-CC9C-434A-9F5B-0DA86EC808B8}"/>
            </a:ext>
          </a:extLst>
        </xdr:cNvPr>
        <xdr:cNvSpPr/>
      </xdr:nvSpPr>
      <xdr:spPr>
        <a:xfrm>
          <a:off x="2529840" y="381000"/>
          <a:ext cx="2179320" cy="464820"/>
        </a:xfrm>
        <a:prstGeom prst="rect">
          <a:avLst/>
        </a:prstGeom>
        <a:solidFill>
          <a:srgbClr val="FF66CC"/>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 </a:t>
          </a:r>
          <a:r>
            <a:rPr lang="en-US" sz="2800">
              <a:solidFill>
                <a:schemeClr val="tx1"/>
              </a:solidFill>
            </a:rPr>
            <a:t>$</a:t>
          </a:r>
          <a:r>
            <a:rPr lang="en-US" sz="2800"/>
            <a:t> </a:t>
          </a:r>
          <a:r>
            <a:rPr lang="en-US" sz="2800" b="1">
              <a:solidFill>
                <a:schemeClr val="tx1"/>
              </a:solidFill>
            </a:rPr>
            <a:t>85,23</a:t>
          </a:r>
          <a:r>
            <a:rPr lang="en-US"/>
            <a:t> </a:t>
          </a:r>
        </a:p>
      </xdr:txBody>
    </xdr:sp>
    <xdr:clientData/>
  </xdr:twoCellAnchor>
  <xdr:twoCellAnchor>
    <xdr:from>
      <xdr:col>6</xdr:col>
      <xdr:colOff>411480</xdr:colOff>
      <xdr:row>0</xdr:row>
      <xdr:rowOff>53340</xdr:rowOff>
    </xdr:from>
    <xdr:to>
      <xdr:col>9</xdr:col>
      <xdr:colOff>213360</xdr:colOff>
      <xdr:row>2</xdr:row>
      <xdr:rowOff>7620</xdr:rowOff>
    </xdr:to>
    <xdr:sp macro="" textlink="">
      <xdr:nvSpPr>
        <xdr:cNvPr id="15" name="Rectángulo 14">
          <a:extLst>
            <a:ext uri="{FF2B5EF4-FFF2-40B4-BE49-F238E27FC236}">
              <a16:creationId xmlns:a16="http://schemas.microsoft.com/office/drawing/2014/main" id="{90E23777-5F71-4BBC-A5D0-E60FF9788111}"/>
            </a:ext>
          </a:extLst>
        </xdr:cNvPr>
        <xdr:cNvSpPr/>
      </xdr:nvSpPr>
      <xdr:spPr>
        <a:xfrm>
          <a:off x="5166360" y="53340"/>
          <a:ext cx="2179320" cy="320040"/>
        </a:xfrm>
        <a:prstGeom prst="rect">
          <a:avLst/>
        </a:prstGeom>
        <a:solidFill>
          <a:schemeClr val="bg2">
            <a:lumMod val="5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AR" sz="1600" b="1"/>
            <a:t>%</a:t>
          </a:r>
          <a:r>
            <a:rPr lang="es-AR" sz="1600" b="1" baseline="0"/>
            <a:t> LOW COST</a:t>
          </a:r>
          <a:endParaRPr lang="es-AR" sz="1600" b="1"/>
        </a:p>
      </xdr:txBody>
    </xdr:sp>
    <xdr:clientData/>
  </xdr:twoCellAnchor>
  <xdr:twoCellAnchor>
    <xdr:from>
      <xdr:col>6</xdr:col>
      <xdr:colOff>411480</xdr:colOff>
      <xdr:row>2</xdr:row>
      <xdr:rowOff>15240</xdr:rowOff>
    </xdr:from>
    <xdr:to>
      <xdr:col>9</xdr:col>
      <xdr:colOff>213360</xdr:colOff>
      <xdr:row>4</xdr:row>
      <xdr:rowOff>129540</xdr:rowOff>
    </xdr:to>
    <xdr:sp macro="" textlink="">
      <xdr:nvSpPr>
        <xdr:cNvPr id="16" name="Rectángulo 15">
          <a:extLst>
            <a:ext uri="{FF2B5EF4-FFF2-40B4-BE49-F238E27FC236}">
              <a16:creationId xmlns:a16="http://schemas.microsoft.com/office/drawing/2014/main" id="{4E373314-E056-45F7-89B7-067F69529600}"/>
            </a:ext>
          </a:extLst>
        </xdr:cNvPr>
        <xdr:cNvSpPr/>
      </xdr:nvSpPr>
      <xdr:spPr>
        <a:xfrm>
          <a:off x="5166360" y="381000"/>
          <a:ext cx="2179320" cy="480060"/>
        </a:xfrm>
        <a:prstGeom prst="rect">
          <a:avLst/>
        </a:prstGeom>
        <a:solidFill>
          <a:srgbClr val="FF66CC"/>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6,4%</a:t>
          </a:r>
        </a:p>
      </xdr:txBody>
    </xdr:sp>
    <xdr:clientData/>
  </xdr:twoCellAnchor>
  <xdr:twoCellAnchor>
    <xdr:from>
      <xdr:col>5</xdr:col>
      <xdr:colOff>200025</xdr:colOff>
      <xdr:row>21</xdr:row>
      <xdr:rowOff>104775</xdr:rowOff>
    </xdr:from>
    <xdr:to>
      <xdr:col>12</xdr:col>
      <xdr:colOff>638175</xdr:colOff>
      <xdr:row>36</xdr:row>
      <xdr:rowOff>85725</xdr:rowOff>
    </xdr:to>
    <xdr:graphicFrame macro="">
      <xdr:nvGraphicFramePr>
        <xdr:cNvPr id="17" name="Gráfico 16">
          <a:extLst>
            <a:ext uri="{FF2B5EF4-FFF2-40B4-BE49-F238E27FC236}">
              <a16:creationId xmlns:a16="http://schemas.microsoft.com/office/drawing/2014/main" id="{3D77B31F-7F37-4B92-A861-62226C720AFC}"/>
            </a:ext>
            <a:ext uri="{147F2762-F138-4A5C-976F-8EAC2B608ADB}">
              <a16:predDERef xmlns:a16="http://schemas.microsoft.com/office/drawing/2014/main" pred="{4E373314-E056-45F7-89B7-067F69529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ba-Pc" refreshedDate="46076.84016284722" createdVersion="7" refreshedVersion="7" minRefreshableVersion="3" recordCount="250" xr:uid="{AE1F7D96-BA9E-4ABD-AB11-C80B154C806F}">
  <cacheSource type="worksheet">
    <worksheetSource name="Tabla1"/>
  </cacheSource>
  <cacheFields count="17">
    <cacheField name="Product ID" numFmtId="0">
      <sharedItems containsSemiMixedTypes="0" containsString="0" containsNumber="1" containsInteger="1" minValue="110075" maxValue="199631"/>
    </cacheField>
    <cacheField name="Product Position" numFmtId="0">
      <sharedItems/>
    </cacheField>
    <cacheField name="Promotion" numFmtId="0">
      <sharedItems/>
    </cacheField>
    <cacheField name="Product Category" numFmtId="0">
      <sharedItems/>
    </cacheField>
    <cacheField name="Seasonal" numFmtId="0">
      <sharedItems/>
    </cacheField>
    <cacheField name="Sales Volume" numFmtId="0">
      <sharedItems containsSemiMixedTypes="0" containsString="0" containsNumber="1" containsInteger="1" minValue="529" maxValue="2989"/>
    </cacheField>
    <cacheField name="brand" numFmtId="0">
      <sharedItems/>
    </cacheField>
    <cacheField name="url" numFmtId="0">
      <sharedItems/>
    </cacheField>
    <cacheField name="sku" numFmtId="0">
      <sharedItems/>
    </cacheField>
    <cacheField name="name" numFmtId="0">
      <sharedItems/>
    </cacheField>
    <cacheField name="description" numFmtId="0">
      <sharedItems longText="1"/>
    </cacheField>
    <cacheField name="price" numFmtId="0">
      <sharedItems containsSemiMixedTypes="0" containsString="0" containsNumber="1" minValue="7.99" maxValue="439"/>
    </cacheField>
    <cacheField name="currency" numFmtId="0">
      <sharedItems/>
    </cacheField>
    <cacheField name="scraped_at" numFmtId="0">
      <sharedItems/>
    </cacheField>
    <cacheField name="terms" numFmtId="0">
      <sharedItems/>
    </cacheField>
    <cacheField name="section" numFmtId="0">
      <sharedItems count="2">
        <s v="MAN"/>
        <s v="WOMAN"/>
      </sharedItems>
    </cacheField>
    <cacheField name="Agrupacion" numFmtId="0">
      <sharedItems count="3">
        <s v="Low Cost"/>
        <s v="Premium"/>
        <s v="Estándar"/>
      </sharedItems>
    </cacheField>
  </cacheFields>
  <extLst>
    <ext xmlns:x14="http://schemas.microsoft.com/office/spreadsheetml/2009/9/main" uri="{725AE2AE-9491-48be-B2B4-4EB974FC3084}">
      <x14:pivotCacheDefinition pivotCacheId="76043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85102"/>
    <s v="Aisle"/>
    <s v="No"/>
    <s v="Clothing"/>
    <s v="No"/>
    <n v="2823"/>
    <s v="Zara"/>
    <s v="https://www.zara.com/us/en/basic-puffer-jacket-p06985450.html"/>
    <s v="272145190-250-2"/>
    <s v="BASIC PUFFER JACKET"/>
    <s v="Puffer jacket made of tear-resistant ripstop fabric. High collar and adjustable long sleeves with adhesive straps. Welt pockets at hip. Adjustable hem with side elastics. Front zip closure."/>
    <n v="19.989999999999998"/>
    <s v="USD"/>
    <s v="2024-02-19T08:50:05.654618"/>
    <s v="jackets"/>
    <x v="0"/>
    <x v="0"/>
  </r>
  <r>
    <n v="188771"/>
    <s v="Aisle"/>
    <s v="No"/>
    <s v="Clothing"/>
    <s v="No"/>
    <n v="654"/>
    <s v="Zara"/>
    <s v="https://www.zara.com/us/en/tuxedo-jacket-p08896675.html"/>
    <s v="324052738-800-46"/>
    <s v="TUXEDO JACKET"/>
    <s v="Straight fit blazer. Pointed lapel collar and long sleeves with buttoned cuffs. Welt pockets at hip and interior pocket. Central back vent at hem. Front button closure."/>
    <n v="169"/>
    <s v="USD"/>
    <s v="2024-02-19T08:50:06.590930"/>
    <s v="jackets"/>
    <x v="0"/>
    <x v="1"/>
  </r>
  <r>
    <n v="180176"/>
    <s v="End-cap"/>
    <s v="Yes"/>
    <s v="Clothing"/>
    <s v="Yes"/>
    <n v="2220"/>
    <s v="Zara"/>
    <s v="https://www.zara.com/us/en/slim-fit-suit-jacket-p01564520.html"/>
    <s v="335342680-800-44"/>
    <s v="SLIM FIT SUIT JACKET"/>
    <s v="Slim fit jacket. Notched lapel collar. Long sleeves with buttoned cuffs. Welt pocket at chest and flap pockets at hip. Interior pocket. Back vents. Front button closure."/>
    <n v="129"/>
    <s v="USD"/>
    <s v="2024-02-19T08:50:07.301419"/>
    <s v="jackets"/>
    <x v="0"/>
    <x v="1"/>
  </r>
  <r>
    <n v="112917"/>
    <s v="Aisle"/>
    <s v="Yes"/>
    <s v="Clothing"/>
    <s v="Yes"/>
    <n v="1568"/>
    <s v="Zara"/>
    <s v="https://www.zara.com/us/en/stretch-suit-jacket-p01564300.html"/>
    <s v="328303236-420-44"/>
    <s v="STRETCH SUIT JACKET"/>
    <s v="Slim fit jacket made of viscose blend fabric. Notched lapel collar. Long sleeves with buttoned cuffs. Welt pocket at chest and flap pockets at hip. Interior pocket. Back vents. Front button closure."/>
    <n v="129"/>
    <s v="USD"/>
    <s v="2024-02-19T08:50:07.882922"/>
    <s v="jackets"/>
    <x v="0"/>
    <x v="1"/>
  </r>
  <r>
    <n v="192936"/>
    <s v="End-cap"/>
    <s v="No"/>
    <s v="Clothing"/>
    <s v="Yes"/>
    <n v="2942"/>
    <s v="Zara"/>
    <s v="https://www.zara.com/us/en/double-faced-jacket-p08281477.html"/>
    <s v="312368260-800-2"/>
    <s v="DOUBLE FACED JACKET"/>
    <s v="Jacket made of faux leather faux shearling with fleece interior. Tabbed lapel collar. Long sleeves. Zip pockets at hip. Front zip closure."/>
    <n v="139"/>
    <s v="USD"/>
    <s v="2024-02-19T08:50:08.453847"/>
    <s v="jackets"/>
    <x v="0"/>
    <x v="1"/>
  </r>
  <r>
    <n v="117590"/>
    <s v="End-cap"/>
    <s v="No"/>
    <s v="Clothing"/>
    <s v="No"/>
    <n v="2968"/>
    <s v="Zara"/>
    <s v="https://www.zara.com/us/en/contrasting-collar-jacket-p06987331.html"/>
    <s v="320298385-807-2"/>
    <s v="CONTRASTING COLLAR JACKET"/>
    <s v="Relaxed fit jacket. Contrasting lapel collar and long sleeves with buttoned cuffs. Front pouch pockets. Interior pocket. Washed effect. Front zip closure."/>
    <n v="79.900000000000006"/>
    <s v="USD"/>
    <s v="2024-02-19T08:50:09.140497"/>
    <s v="jackets"/>
    <x v="0"/>
    <x v="1"/>
  </r>
  <r>
    <n v="189118"/>
    <s v="Front of Store"/>
    <s v="Yes"/>
    <s v="Clothing"/>
    <s v="Yes"/>
    <n v="952"/>
    <s v="Zara"/>
    <s v="https://www.zara.com/us/en/faux-leather-puffer-jacket-p08281420.html"/>
    <s v="278112470-800-2"/>
    <s v="FAUX LEATHER PUFFER JACKET"/>
    <s v="Faux leather puffer jacket. High collar and long sleeves with ribbed interior cuffs. Welt pockets at hip. Interior pocket. Adjustable hem with side elastics. Front zip closure."/>
    <n v="69.989999999999995"/>
    <s v="USD"/>
    <s v="2024-02-19T08:50:09.688951"/>
    <s v="jackets"/>
    <x v="0"/>
    <x v="1"/>
  </r>
  <r>
    <n v="182157"/>
    <s v="Aisle"/>
    <s v="No"/>
    <s v="Clothing"/>
    <s v="No"/>
    <n v="2421"/>
    <s v="Zara"/>
    <s v="https://www.zara.com/us/en/suit-jacket-in-100-linen-p04307408.html"/>
    <s v="322972485-431-46"/>
    <s v="SUIT JACKET IN 100% LINEN"/>
    <s v="Straight fit blazer made of linen. Notched lapel collar and long sleeves with buttoned cuffs. Welt pocket at chest and flap pockets at hip. Interior pocket. Back vents. Front button closure."/>
    <n v="159"/>
    <s v="USD"/>
    <s v="2024-02-19T08:50:10.200777"/>
    <s v="jackets"/>
    <x v="0"/>
    <x v="1"/>
  </r>
  <r>
    <n v="141861"/>
    <s v="Aisle"/>
    <s v="Yes"/>
    <s v="Clothing"/>
    <s v="Yes"/>
    <n v="1916"/>
    <s v="Zara"/>
    <s v="https://www.zara.com/us/en/100-wool-suit-jacket-p05955218.html"/>
    <s v="313854165-401-46"/>
    <s v="100% WOOL SUIT JACKET"/>
    <s v="Jacket made of Italian wool. Pointed lapel collar and long sleeves with buttoned cuffs. Welt pocket at chest and flap pockets at hip. Interior pocket. Back vents. Front button closure."/>
    <n v="169"/>
    <s v="USD"/>
    <s v="2024-02-19T08:50:10.880741"/>
    <s v="jackets"/>
    <x v="0"/>
    <x v="1"/>
  </r>
  <r>
    <n v="137121"/>
    <s v="Aisle"/>
    <s v="No"/>
    <s v="Clothing"/>
    <s v="Yes"/>
    <n v="656"/>
    <s v="Zara"/>
    <s v="https://www.zara.com/us/en/100-feather-fill-puffer-jacket-p04302305.html"/>
    <s v="312372602-800-2"/>
    <s v="100% FEATHER FILL PUFFER JACKET"/>
    <s v="Puffer jacket made of shiny finish technical fabric. Fill is a blend of 80% down and 20% feathers. High collar with adjustable hood and long sleeves with elastic cuffs. Welt pockets at hip and interior pocket. Adjustable hem with side elastics. Front zip closure."/>
    <n v="169"/>
    <s v="USD"/>
    <s v="2024-02-19T08:50:11.380061"/>
    <s v="jackets"/>
    <x v="0"/>
    <x v="1"/>
  </r>
  <r>
    <n v="113143"/>
    <s v="Aisle"/>
    <s v="Yes"/>
    <s v="Clothing"/>
    <s v="Yes"/>
    <n v="2663"/>
    <s v="Zara"/>
    <s v="https://www.zara.com/us/en/herringbone-textured-jacket-p08491401.html"/>
    <s v="316207900-710-2"/>
    <s v="HERRINGBONE TEXTURED JACKET"/>
    <s v="Jacket made of wool blend fabric. Lapel collar and long sleeves. Welt pockets at hip. Front zip closure."/>
    <n v="129"/>
    <s v="USD"/>
    <s v="2024-02-19T08:50:12.011296"/>
    <s v="jackets"/>
    <x v="0"/>
    <x v="1"/>
  </r>
  <r>
    <n v="140028"/>
    <s v="Aisle"/>
    <s v="Yes"/>
    <s v="Clothing"/>
    <s v="Yes"/>
    <n v="1260"/>
    <s v="Zara"/>
    <s v="https://www.zara.com/us/en/oversized-cropped-jacket-limited-edition-p04304672.html"/>
    <s v="329186122-800-2"/>
    <s v="OVERSIZED CROPPED JACKET LIMITED EDITION"/>
    <s v="Oversized cropped jacket. Notched lapel collar and long sleeves with buttoned cuffs. Flap pockets at waist ad interior pocket. Front button closure."/>
    <n v="159"/>
    <s v="USD"/>
    <s v="2024-02-19T08:50:12.510507"/>
    <s v="jackets"/>
    <x v="0"/>
    <x v="1"/>
  </r>
  <r>
    <n v="134693"/>
    <s v="Aisle"/>
    <s v="Yes"/>
    <s v="Clothing"/>
    <s v="No"/>
    <n v="2124"/>
    <s v="Zara"/>
    <s v="https://www.zara.com/us/en/leather-biker-jacket-p05833412.html"/>
    <s v="311297791-800-2"/>
    <s v="LEATHER BIKER JACKET"/>
    <s v="Jacket with lapel collar and snap button details. Long sleeves with zip cuffs. Front zip pockets and interior pocket. Asymmetric front closure with metal zipper."/>
    <n v="169"/>
    <s v="USD"/>
    <s v="2024-02-19T08:50:13.210501"/>
    <s v="jackets"/>
    <x v="0"/>
    <x v="1"/>
  </r>
  <r>
    <n v="151396"/>
    <s v="Front of Store"/>
    <s v="Yes"/>
    <s v="Clothing"/>
    <s v="Yes"/>
    <n v="729"/>
    <s v="Zara"/>
    <s v="https://www.zara.com/us/en/cropped-leather-jacket-p02521104.html"/>
    <s v="323134418-800-3"/>
    <s v="CROPPED LEATHER JACKET"/>
    <s v="Leather jacket. Cropped length. Lapel collar and long sleeves. Front hidden in-seam pockets. Front zip closure."/>
    <n v="439"/>
    <s v="USD"/>
    <s v="2024-02-19T08:50:13.771115"/>
    <s v="jackets"/>
    <x v="0"/>
    <x v="1"/>
  </r>
  <r>
    <n v="132889"/>
    <s v="Aisle"/>
    <s v="Yes"/>
    <s v="Clothing"/>
    <s v="Yes"/>
    <n v="2265"/>
    <s v="Zara"/>
    <s v="https://www.zara.com/us/en/faux-leather-boxy-fit-jacket-p08281654.html"/>
    <s v="311297555-706-2"/>
    <s v="FAUX LEATHER BOXY FIT JACKET"/>
    <s v="Boxy fit jacket. Lapel collar and long sleeves with buttoned cuffs. Welt pockets at hip. Front button closure."/>
    <n v="99.9"/>
    <s v="USD"/>
    <s v="2024-02-19T08:50:14.252907"/>
    <s v="jackets"/>
    <x v="0"/>
    <x v="1"/>
  </r>
  <r>
    <n v="152174"/>
    <s v="End-cap"/>
    <s v="No"/>
    <s v="Clothing"/>
    <s v="No"/>
    <n v="2226"/>
    <s v="Zara"/>
    <s v="https://www.zara.com/us/en/faux-leather-jacket-p03427320.html"/>
    <s v="317012940-800-2"/>
    <s v="FAUX LEATHER JACKET"/>
    <s v="Jacket made of faux leather fabric. Lapel collar with snap button details. Long sleeves with zip cuffs. Front zip pockets at chest and hip. Interior pocket. Asymmetric front closure with metal zipper."/>
    <n v="99.9"/>
    <s v="USD"/>
    <s v="2024-02-19T08:50:14.853868"/>
    <s v="jackets"/>
    <x v="0"/>
    <x v="1"/>
  </r>
  <r>
    <n v="129906"/>
    <s v="Aisle"/>
    <s v="No"/>
    <s v="Clothing"/>
    <s v="No"/>
    <n v="2089"/>
    <s v="Zara"/>
    <s v="https://www.zara.com/us/en/faux-suede-bomber-jacket-p06318600.html"/>
    <s v="311292672-800-2"/>
    <s v="FAUX SUEDE BOMBER JACKET"/>
    <s v="Jacket made of faux suede fabric. Ribbed elastic high collar and long sleeve. Welt pockets at hip. Rib trim. Front zip closure."/>
    <n v="69.900000000000006"/>
    <s v="USD"/>
    <s v="2024-02-19T08:50:15.386895"/>
    <s v="jackets"/>
    <x v="0"/>
    <x v="1"/>
  </r>
  <r>
    <n v="195879"/>
    <s v="Front of Store"/>
    <s v="Yes"/>
    <s v="Clothing"/>
    <s v="Yes"/>
    <n v="2339"/>
    <s v="Zara"/>
    <s v="https://www.zara.com/us/en/denim-bomber-jacket-p00621400.html"/>
    <s v="321496837-400-3"/>
    <s v="DENIM BOMBER JACKET"/>
    <s v="Jacket made of denim fabric with padded interior. Rib elastic collar and long sleeves. Welt pockets at hip and interior pocket. Elastic hem. All-over contrasting topstitching details. Front zip closure."/>
    <n v="129"/>
    <s v="USD"/>
    <s v="2024-02-19T08:50:15.895051"/>
    <s v="jackets"/>
    <x v="0"/>
    <x v="1"/>
  </r>
  <r>
    <n v="155050"/>
    <s v="Aisle"/>
    <s v="No"/>
    <s v="Clothing"/>
    <s v="Yes"/>
    <n v="2321"/>
    <s v="Zara"/>
    <s v="https://www.zara.com/us/en/boucle-textured-jacket-p08491402.html"/>
    <s v="316205038-615-2"/>
    <s v="BOUCLE TEXTURED JACKET"/>
    <s v="Cropped jacket made with wool blend fabric. High collar and long sleeves with elastic cuffs. Front patch pockets with flaps. Elastic hem. Front snap button closure."/>
    <n v="129"/>
    <s v="USD"/>
    <s v="2024-02-19T08:50:16.580479"/>
    <s v="jackets"/>
    <x v="0"/>
    <x v="1"/>
  </r>
  <r>
    <n v="194410"/>
    <s v="End-cap"/>
    <s v="No"/>
    <s v="Clothing"/>
    <s v="No"/>
    <n v="669"/>
    <s v="Zara"/>
    <s v="https://www.zara.com/us/en/suit-jacket-in-100-linen-p04307443.html"/>
    <s v="322972473-052-46"/>
    <s v="SUIT JACKET IN 100% LINEN"/>
    <s v="Straight fit blazer made of linen. Notched lapel collar and long sleeves with buttoned cuffs. Flap pockets at hip. Interior pocket. Back vents. Front button closure."/>
    <n v="159"/>
    <s v="USD"/>
    <s v="2024-02-19T08:50:17.153559"/>
    <s v="jackets"/>
    <x v="0"/>
    <x v="1"/>
  </r>
  <r>
    <n v="141904"/>
    <s v="End-cap"/>
    <s v="Yes"/>
    <s v="Clothing"/>
    <s v="Yes"/>
    <n v="1712"/>
    <s v="Zara"/>
    <s v="https://www.zara.com/us/en/jacquard-denim-jacket-p07627402.html"/>
    <s v="313845662-400-3"/>
    <s v="JACQUARD DENIM JACKET"/>
    <s v="Lapel collar jacket with long sleeves with buttoned cuffs. Patch pockets with flaps at chest and side pockets at hip. Front hidden button closure."/>
    <n v="109"/>
    <s v="USD"/>
    <s v="2024-02-19T08:50:17.639427"/>
    <s v="jackets"/>
    <x v="0"/>
    <x v="1"/>
  </r>
  <r>
    <n v="124981"/>
    <s v="Front of Store"/>
    <s v="No"/>
    <s v="Clothing"/>
    <s v="Yes"/>
    <n v="1832"/>
    <s v="Zara"/>
    <s v="https://www.zara.com/us/en/padded-denim-jacket-p01538413.html"/>
    <s v="320264577-800-2"/>
    <s v="PADDED DENIM JACKET"/>
    <s v="Cropped jacket with lightly quilted interior. Lapel collar and long sleeves. Flap patch pockets at hip. Washed effect. Rib hems. Front zip closure."/>
    <n v="89.9"/>
    <s v="USD"/>
    <s v="2024-02-19T08:50:18.264732"/>
    <s v="jackets"/>
    <x v="0"/>
    <x v="1"/>
  </r>
  <r>
    <n v="161909"/>
    <s v="Aisle"/>
    <s v="Yes"/>
    <s v="Clothing"/>
    <s v="No"/>
    <n v="1290"/>
    <s v="Zara"/>
    <s v="https://www.zara.com/us/en/leather-jacket-p05479400.html"/>
    <s v="315529534-705-3"/>
    <s v="LEATHER JACKET"/>
    <s v="Relaxed fit jacket in leather. Spread collar and long sleeves with slit cuffs with button closure. Patch pockets at hip. Back vents. Front button closure."/>
    <n v="299"/>
    <s v="USD"/>
    <s v="2024-02-19T08:50:18.813979"/>
    <s v="jackets"/>
    <x v="0"/>
    <x v="1"/>
  </r>
  <r>
    <n v="129152"/>
    <s v="End-cap"/>
    <s v="No"/>
    <s v="Clothing"/>
    <s v="No"/>
    <n v="2356"/>
    <s v="Zara"/>
    <s v="https://www.zara.com/us/en/lightweight-bomber-jacket-p08281315.html"/>
    <s v="320423517-800-2"/>
    <s v="LIGHTWEIGHT BOMBER JACKET"/>
    <s v="Lightweight jacket made of technical fabric. Round neck and long sleeves. Welt pockets at hip. Interior pocket. Rib trim. Front zip closure."/>
    <n v="49.9"/>
    <s v="USD"/>
    <s v="2024-02-19T08:50:19.405469"/>
    <s v="jackets"/>
    <x v="0"/>
    <x v="2"/>
  </r>
  <r>
    <n v="183243"/>
    <s v="Front of Store"/>
    <s v="Yes"/>
    <s v="Clothing"/>
    <s v="No"/>
    <n v="1524"/>
    <s v="Zara"/>
    <s v="https://www.zara.com/us/en/suit-jacket-p04303266.html"/>
    <s v="328250627-251-46"/>
    <s v="SUIT JACKET"/>
    <s v="Straight fit jacket made of dense stretch fabric. Notched lapel collar and long sleeves with buttoned cuffs. Welt pocket at chest and flap pockets at hip. Interior pocket. Back vents. Front button closure."/>
    <n v="169"/>
    <s v="USD"/>
    <s v="2024-02-19T08:50:19.899287"/>
    <s v="jackets"/>
    <x v="0"/>
    <x v="1"/>
  </r>
  <r>
    <n v="198248"/>
    <s v="Front of Store"/>
    <s v="Yes"/>
    <s v="Clothing"/>
    <s v="No"/>
    <n v="1644"/>
    <s v="Zara"/>
    <s v="https://www.zara.com/us/en/faux-leather-bomber-jacket-p03918420.html"/>
    <s v="311309526-800-2"/>
    <s v="FAUX LEATHER BOMBER JACKET"/>
    <s v="Jacket made of faux leather fabric. High collar and long sleeves. Welt pockets at hip and interior pocket. Rib trim. Front zip closure."/>
    <n v="69.900000000000006"/>
    <s v="USD"/>
    <s v="2024-02-19T08:50:20.387337"/>
    <s v="jackets"/>
    <x v="0"/>
    <x v="1"/>
  </r>
  <r>
    <n v="191230"/>
    <s v="End-cap"/>
    <s v="No"/>
    <s v="Clothing"/>
    <s v="No"/>
    <n v="966"/>
    <s v="Zara"/>
    <s v="https://www.zara.com/us/en/patch-bomber-jacket-p03918330.html"/>
    <s v="311287528-811-2"/>
    <s v="PATCH BOMBER JACKET"/>
    <s v="Varsity jacket made of faux suede fabric. Double welt pockets at hip and interior pocket. Front and back contrasting patch appliquÃ©s and embroidery. Rib trim. Front snap button closure."/>
    <n v="89.9"/>
    <s v="USD"/>
    <s v="2024-02-19T08:50:20.940517"/>
    <s v="jackets"/>
    <x v="0"/>
    <x v="1"/>
  </r>
  <r>
    <n v="187234"/>
    <s v="Front of Store"/>
    <s v="Yes"/>
    <s v="Clothing"/>
    <s v="Yes"/>
    <n v="2575"/>
    <s v="Zara"/>
    <s v="https://www.zara.com/us/en/stretch-pocket-overshirt-p07484478.html"/>
    <s v="342657802-914-2"/>
    <s v="STRETCH POCKET OVERSHIRT"/>
    <s v="Overshirt made of stretchy fabric. Lapel collar and long sleeves with snap buttoned cuffs. Chest patch pockets. Front snap button closure."/>
    <n v="59.9"/>
    <s v="USD"/>
    <s v="2024-02-19T08:50:21.681257"/>
    <s v="jackets"/>
    <x v="0"/>
    <x v="1"/>
  </r>
  <r>
    <n v="148888"/>
    <s v="Front of Store"/>
    <s v="No"/>
    <s v="Clothing"/>
    <s v="No"/>
    <n v="2774"/>
    <s v="Zara"/>
    <s v="https://www.zara.com/us/en/rib-collar-jacket-p08281410.html"/>
    <s v="316207898-712-2"/>
    <s v="RIB COLLAR JACKET"/>
    <s v="Jacket made of technical fabric with padded interior. Tonal elastic rib high collar. Long sleeves. Welt pockets at hip and interior pocket. Interior elastic finish. Front zip closure."/>
    <n v="109"/>
    <s v="USD"/>
    <s v="2024-02-19T08:50:22.196513"/>
    <s v="jackets"/>
    <x v="0"/>
    <x v="1"/>
  </r>
  <r>
    <n v="110805"/>
    <s v="Front of Store"/>
    <s v="Yes"/>
    <s v="Clothing"/>
    <s v="No"/>
    <n v="2477"/>
    <s v="Zara"/>
    <s v="https://www.zara.com/us/en/faux-leather-oversized-jacket-limited-edition-p07380310.html"/>
    <s v="321496761-800-2"/>
    <s v="FAUX LEATHER OVERSIZED JACKET LIMITED EDITION"/>
    <s v="Oversized jacket. Notched lapel collar and long sleeves. Flap pockets at hip and interior pocket. Front button closure."/>
    <n v="159"/>
    <s v="USD"/>
    <s v="2024-02-19T08:50:22.752699"/>
    <s v="jackets"/>
    <x v="0"/>
    <x v="1"/>
  </r>
  <r>
    <n v="179801"/>
    <s v="Front of Store"/>
    <s v="No"/>
    <s v="Clothing"/>
    <s v="Yes"/>
    <n v="2608"/>
    <s v="Zara"/>
    <s v="https://www.zara.com/us/en/contrasting-patches-bomber-jacket-p06318411.html"/>
    <s v="311307255-800-2"/>
    <s v="CONTRASTING PATCHES BOMBER JACKET"/>
    <s v="Varsity jacket with elastic collar and long sleeves. Welt pockets at hip and interior pocket. Embroidered appliquÃ© and contrast front and back patches. Rib trim. Front snap button closure."/>
    <n v="129"/>
    <s v="USD"/>
    <s v="2024-02-19T08:50:23.449176"/>
    <s v="jackets"/>
    <x v="0"/>
    <x v="1"/>
  </r>
  <r>
    <n v="134927"/>
    <s v="Aisle"/>
    <s v="Yes"/>
    <s v="Clothing"/>
    <s v="Yes"/>
    <n v="2252"/>
    <s v="Zara"/>
    <s v="https://www.zara.com/us/en/patch-bomber-jacket-p03833404.html"/>
    <s v="317129011-500-2"/>
    <s v="PATCH BOMBER JACKET"/>
    <s v="Varsity jacket with padded interior. Rib elastic collar and long sleeves in contrast faux leather. Double welt pockets at hip and interior pocket. Contrasting patch appliquÃ©s at front and back. Rib trim. Front snap button closure."/>
    <n v="129"/>
    <s v="USD"/>
    <s v="2024-02-19T08:50:23.929417"/>
    <s v="jackets"/>
    <x v="0"/>
    <x v="1"/>
  </r>
  <r>
    <n v="123150"/>
    <s v="End-cap"/>
    <s v="Yes"/>
    <s v="Clothing"/>
    <s v="No"/>
    <n v="2074"/>
    <s v="Zara"/>
    <s v="https://www.zara.com/us/en/cropped-bomber-jacket-limited-edition-p08281600.html"/>
    <s v="330274270-800-2"/>
    <s v="CROPPED BOMBER JACKET LIMITED EDITION"/>
    <s v="Jacket with lightly padded interior. Rib collar and long sleeves. Flap pockets at waist. Rib trim. Front asymmetric zip closure."/>
    <n v="129"/>
    <s v="USD"/>
    <s v="2024-02-19T08:50:24.492261"/>
    <s v="jackets"/>
    <x v="0"/>
    <x v="1"/>
  </r>
  <r>
    <n v="159145"/>
    <s v="End-cap"/>
    <s v="Yes"/>
    <s v="Clothing"/>
    <s v="No"/>
    <n v="2579"/>
    <s v="Zara"/>
    <s v="https://www.zara.com/us/en/faux-leather-puffer-jacket-p03833302.html"/>
    <s v="311297855-800-2"/>
    <s v="FAUX LEATHER PUFFER JACKET"/>
    <s v="Faux leather jacket with padded interior. Lapel collar and long sleeves with snap buttoned cuffs. Welt pockets at hip and interior pocket. Elastic hem. Front zip hidden by a snap button flap."/>
    <n v="109"/>
    <s v="USD"/>
    <s v="2024-02-19T08:50:25.084642"/>
    <s v="jackets"/>
    <x v="0"/>
    <x v="1"/>
  </r>
  <r>
    <n v="172364"/>
    <s v="Aisle"/>
    <s v="Yes"/>
    <s v="Clothing"/>
    <s v="No"/>
    <n v="2931"/>
    <s v="Zara"/>
    <s v="https://www.zara.com/us/en/faux-leather-bomber-jacket-p08281667.html"/>
    <s v="317782474-800-2"/>
    <s v="FAUX LEATHER BOMBER JACKET"/>
    <s v="Jacket made of faux leather fabric. Rib elastic collar and long sleeves. Zip pockets with flaps at hip. Interior pocket. Elastic hem. Front zip closure."/>
    <n v="109"/>
    <s v="USD"/>
    <s v="2024-02-19T08:50:26.108791"/>
    <s v="jackets"/>
    <x v="0"/>
    <x v="1"/>
  </r>
  <r>
    <n v="178281"/>
    <s v="End-cap"/>
    <s v="No"/>
    <s v="Clothing"/>
    <s v="Yes"/>
    <n v="1145"/>
    <s v="Zara"/>
    <s v="https://www.zara.com/us/en/bomber-jacket-p06318502.html"/>
    <s v="315758723-401-2"/>
    <s v="BOMBER JACKET"/>
    <s v="Varsity jacket. High collar and long sleeves. Welt pockets at hip and interior pocket. Rib trim. Front snap button closure."/>
    <n v="109"/>
    <s v="USD"/>
    <s v="2024-02-19T08:50:27.368815"/>
    <s v="jackets"/>
    <x v="0"/>
    <x v="1"/>
  </r>
  <r>
    <n v="194339"/>
    <s v="End-cap"/>
    <s v="No"/>
    <s v="Clothing"/>
    <s v="No"/>
    <n v="1792"/>
    <s v="Zara"/>
    <s v="https://www.zara.com/us/en/faux-suede-jacket-p08281652.html"/>
    <s v="311302863-800-2"/>
    <s v="FAUX SUEDE JACKET"/>
    <s v="Lapel collar jacket with long sleeves with buttoned cuffs. Flap pockets at chest and welt pockets at hip. Front button closure."/>
    <n v="89.9"/>
    <s v="USD"/>
    <s v="2024-02-19T08:50:28.013766"/>
    <s v="jackets"/>
    <x v="0"/>
    <x v="1"/>
  </r>
  <r>
    <n v="174412"/>
    <s v="Aisle"/>
    <s v="No"/>
    <s v="Clothing"/>
    <s v="Yes"/>
    <n v="1796"/>
    <s v="Zara"/>
    <s v="https://www.zara.com/us/en/faux-suede-bomber-jacket-p08574500.html"/>
    <s v="311282759-806-2"/>
    <s v="FAUX SUEDE BOMBER JACKET"/>
    <s v="Jacket made of faux suede fabric. Rib elastic collar and long sleeves. Welt pockets at hip. Rib trim. Front zip closure."/>
    <n v="69.900000000000006"/>
    <s v="USD"/>
    <s v="2024-02-19T08:50:28.575851"/>
    <s v="jackets"/>
    <x v="0"/>
    <x v="1"/>
  </r>
  <r>
    <n v="114877"/>
    <s v="Aisle"/>
    <s v="No"/>
    <s v="Clothing"/>
    <s v="No"/>
    <n v="1860"/>
    <s v="Zara"/>
    <s v="https://www.zara.com/us/en/suede-jacket-p02521102.html"/>
    <s v="323134415-700-3"/>
    <s v="SUEDE JACKET"/>
    <s v="Jacket made of suede. Cropped length. Lapel collar and long sleeves. Front hidden in-seam pockets. Front zip closure."/>
    <n v="349"/>
    <s v="USD"/>
    <s v="2024-02-19T08:50:29.497634"/>
    <s v="jackets"/>
    <x v="0"/>
    <x v="1"/>
  </r>
  <r>
    <n v="140727"/>
    <s v="End-cap"/>
    <s v="Yes"/>
    <s v="Clothing"/>
    <s v="Yes"/>
    <n v="1002"/>
    <s v="Zara"/>
    <s v="https://www.zara.com/us/en/contrasting-collar-jacket-p01538369.html"/>
    <s v="312372582-526-2"/>
    <s v="CONTRASTING COLLAR JACKET"/>
    <s v="Jacket with lightly padded interior. Contrasting lapel collar. Long sleeves with buttoned cuffs. Washed effect. Double welt pockets at chest and hip. Front zip closure."/>
    <n v="79.900000000000006"/>
    <s v="USD"/>
    <s v="2024-02-19T08:50:30.899896"/>
    <s v="jackets"/>
    <x v="0"/>
    <x v="1"/>
  </r>
  <r>
    <n v="133109"/>
    <s v="Front of Store"/>
    <s v="No"/>
    <s v="Clothing"/>
    <s v="Yes"/>
    <n v="2063"/>
    <s v="Zara"/>
    <s v="https://www.zara.com/us/en/textured-jacket-p04302457.html"/>
    <s v="321143726-712-2"/>
    <s v="TEXTURED JACKET"/>
    <s v="Jacket made of textured fabric. Lapel collar and long sleeves with buttoned cuffs. Patch pockets at chest and hidden pockets at hip. Side vents at hem. Front button closure."/>
    <n v="79.900000000000006"/>
    <s v="USD"/>
    <s v="2024-02-19T08:50:31.435371"/>
    <s v="jackets"/>
    <x v="0"/>
    <x v="1"/>
  </r>
  <r>
    <n v="127296"/>
    <s v="Aisle"/>
    <s v="No"/>
    <s v="Clothing"/>
    <s v="No"/>
    <n v="1165"/>
    <s v="Zara"/>
    <s v="https://www.zara.com/us/en/cropped-textured-jacket-p01538410.html"/>
    <s v="320220949-507-2"/>
    <s v="CROPPED TEXTURED JACKET"/>
    <s v="Jacket made of dense cotton fabric cut on the bias. Lapel collar and long sleeves with buttoned cuffs. Welt pockets at hip and interior pocket. Cropped length. Front zip closure."/>
    <n v="89.9"/>
    <s v="USD"/>
    <s v="2024-02-19T08:50:32.016086"/>
    <s v="jackets"/>
    <x v="0"/>
    <x v="1"/>
  </r>
  <r>
    <n v="133757"/>
    <s v="Aisle"/>
    <s v="Yes"/>
    <s v="Clothing"/>
    <s v="No"/>
    <n v="2071"/>
    <s v="Zara"/>
    <s v="https://www.zara.com/us/en/pocket-puffer-jacket-p08281439.html"/>
    <s v="312664937-514-2"/>
    <s v="POCKET PUFFER JACKET"/>
    <s v="Quilted jacket made of technical fabric. High collar and long sleeves. Flap pocket at chest and hidden in-seam pockets at side hip. Interior pocket. Interior elastic hem. Cropped length. Front zip closure."/>
    <n v="129"/>
    <s v="USD"/>
    <s v="2024-02-19T08:50:32.531017"/>
    <s v="jackets"/>
    <x v="0"/>
    <x v="1"/>
  </r>
  <r>
    <n v="111760"/>
    <s v="End-cap"/>
    <s v="No"/>
    <s v="Clothing"/>
    <s v="No"/>
    <n v="1474"/>
    <s v="Zara"/>
    <s v="https://www.zara.com/us/en/technical-jacket-with-pockets-p03286501.html"/>
    <s v="321143723-401-2"/>
    <s v="TECHNICAL JACKET WITH POCKETS"/>
    <s v="Jacket made of technical fabric with quilted interior. Lapel collar and long sleeves. Flap patch pockets at hip. Rib trim. Front button closure."/>
    <n v="109"/>
    <s v="USD"/>
    <s v="2024-02-19T08:50:33.138517"/>
    <s v="jackets"/>
    <x v="0"/>
    <x v="1"/>
  </r>
  <r>
    <n v="198375"/>
    <s v="End-cap"/>
    <s v="No"/>
    <s v="Clothing"/>
    <s v="No"/>
    <n v="2202"/>
    <s v="Zara"/>
    <s v="https://www.zara.com/us/en/faux-leather-jacket-p08281345.html"/>
    <s v="311297763-800-2"/>
    <s v="FAUX LEATHER JACKET"/>
    <s v="Jacket made of faux leather fabric. Lapel collar and long sleeves with snap buttoned cuffs. Welt pockets at hip. Front snap button closure."/>
    <n v="69.900000000000006"/>
    <s v="USD"/>
    <s v="2024-02-19T08:50:33.724614"/>
    <s v="jackets"/>
    <x v="0"/>
    <x v="1"/>
  </r>
  <r>
    <n v="168837"/>
    <s v="Aisle"/>
    <s v="No"/>
    <s v="Clothing"/>
    <s v="No"/>
    <n v="665"/>
    <s v="Zara"/>
    <s v="https://www.zara.com/us/en/faux-suede-jacket-p03548689.html"/>
    <s v="311292194-731-2"/>
    <s v="FAUX SUEDE JACKET"/>
    <s v="Lapel collar jacket with long sleeves with buttoned cuffs. Flap pockets at chest and welt pockets at hip. Front button closure."/>
    <n v="89.9"/>
    <s v="USD"/>
    <s v="2024-02-19T08:50:34.380743"/>
    <s v="jackets"/>
    <x v="0"/>
    <x v="1"/>
  </r>
  <r>
    <n v="138505"/>
    <s v="Front of Store"/>
    <s v="No"/>
    <s v="Clothing"/>
    <s v="No"/>
    <n v="2478"/>
    <s v="Zara"/>
    <s v="https://www.zara.com/us/en/ripped-denim-jacket-p01538470.html"/>
    <s v="335663355-406-2"/>
    <s v="RIPPED DENIM JACKET"/>
    <s v="Denim jacket with lapel collar and long sleeves with buttoned cuffs. Flap pockets at chest and welt pockets at hip. All over washed effect and rips. Front button closure."/>
    <n v="69.900000000000006"/>
    <s v="USD"/>
    <s v="2024-02-19T08:50:35.011352"/>
    <s v="jackets"/>
    <x v="0"/>
    <x v="1"/>
  </r>
  <r>
    <n v="116228"/>
    <s v="End-cap"/>
    <s v="Yes"/>
    <s v="Clothing"/>
    <s v="No"/>
    <n v="647"/>
    <s v="Zara"/>
    <s v="https://www.zara.com/us/en/textured-pocket-jacket-p03918500.html"/>
    <s v="312363708-800-2"/>
    <s v="TEXTURED POCKET JACKET"/>
    <s v="Jacket with lightly padded interior. Lapel collar and long sleeves with buttoned cuffs. Flap pockets at chest and welt pockets at hip. Front button closure."/>
    <n v="89.9"/>
    <s v="USD"/>
    <s v="2024-02-19T08:50:35.534355"/>
    <s v="jackets"/>
    <x v="0"/>
    <x v="1"/>
  </r>
  <r>
    <n v="167592"/>
    <s v="Front of Store"/>
    <s v="Yes"/>
    <s v="Clothing"/>
    <s v="No"/>
    <n v="707"/>
    <s v="Zara"/>
    <s v="https://www.zara.com/us/en/faux-suede-patch-jacket-p08281357.html"/>
    <s v="312320664-251-2"/>
    <s v="FAUX SUEDE PATCH JACKET"/>
    <s v="Varsity jacket made of faux suede fabric. Lapel collar and long sleeves. Double welt pockets at hip and interior pocket. Front contrasting patch appliquÃ©s and embroidery. Rib trim. Front snap button closure."/>
    <n v="89.9"/>
    <s v="USD"/>
    <s v="2024-02-19T08:50:36.278549"/>
    <s v="jackets"/>
    <x v="0"/>
    <x v="1"/>
  </r>
  <r>
    <n v="133100"/>
    <s v="End-cap"/>
    <s v="Yes"/>
    <s v="Clothing"/>
    <s v="No"/>
    <n v="2729"/>
    <s v="Zara"/>
    <s v="https://www.zara.com/us/en/puffer-jacket-with-pouch-pocket-p00155401.html"/>
    <s v="311302445-445-97"/>
    <s v="PUFFER JACKET WITH POUCH POCKET"/>
    <s v="Jacket made of technical fabric with padded interior. High collar with front zip closure and long sleeves with elastic strap cuffs. Front and back contrast embroidered text. Zip pockets at hip. Adjustable elastic strap at hem with side zippers and strap."/>
    <n v="89.9"/>
    <s v="USD"/>
    <s v="2024-02-19T08:50:37.262777"/>
    <s v="jackets"/>
    <x v="0"/>
    <x v="1"/>
  </r>
  <r>
    <n v="119955"/>
    <s v="Front of Store"/>
    <s v="No"/>
    <s v="Clothing"/>
    <s v="No"/>
    <n v="1590"/>
    <s v="Zara"/>
    <s v="https://www.zara.com/us/en/bomber-jacket-p05039440.html"/>
    <s v="323216370-422-97"/>
    <s v="BOMBER JACKET"/>
    <s v="Boxy bomber jacket. Rib elastic collar and long sleeves. Welt pockets at hip. Elasticized trim. Front zip closure."/>
    <n v="89.9"/>
    <s v="USD"/>
    <s v="2024-02-19T08:50:37.977065"/>
    <s v="jackets"/>
    <x v="0"/>
    <x v="1"/>
  </r>
  <r>
    <n v="189349"/>
    <s v="End-cap"/>
    <s v="Yes"/>
    <s v="Clothing"/>
    <s v="No"/>
    <n v="1245"/>
    <s v="Zara"/>
    <s v="https://www.zara.com/us/en/textured-weave-overshirt-p01608101.html"/>
    <s v="317107014-707-2"/>
    <s v="TEXTURED WEAVE OVERSHIRT"/>
    <s v="Relaxed fit overshirt. Lapel collar and long sleeves with buttoned cuffs. Side hidden in-seam pockets. Front button closure."/>
    <n v="89.9"/>
    <s v="USD"/>
    <s v="2024-02-19T08:50:38.675293"/>
    <s v="jackets"/>
    <x v="0"/>
    <x v="1"/>
  </r>
  <r>
    <n v="127478"/>
    <s v="Front of Store"/>
    <s v="No"/>
    <s v="Clothing"/>
    <s v="Yes"/>
    <n v="2498"/>
    <s v="Zara"/>
    <s v="https://www.zara.com/us/en/straight-suit-jacket-p04143291.html"/>
    <s v="328594167-800-46"/>
    <s v="STRAIGHT SUIT JACKET"/>
    <s v="Straight fit blazer. Notched lapel collar and long sleeves with buttoned cuffs. Flap pockets at hip. Interior pocket. Central back vent at hem. Front button closure."/>
    <n v="129"/>
    <s v="USD"/>
    <s v="2024-02-19T08:50:39.146924"/>
    <s v="jackets"/>
    <x v="0"/>
    <x v="1"/>
  </r>
  <r>
    <n v="180661"/>
    <s v="Front of Store"/>
    <s v="No"/>
    <s v="Clothing"/>
    <s v="Yes"/>
    <n v="1041"/>
    <s v="Zara"/>
    <s v="https://www.zara.com/us/en/hooded-quilted-jacket-p00029501.html"/>
    <s v="311309598-711-2"/>
    <s v="HOODED QUILTED JACKET"/>
    <s v="Puffer jacket with high collar and adjustable hood. Long sleeves with interior rib cuffs. Welt pockets at hip and interior pocket. Adjustable hem with side elastics. Front zip hidden by a snap button flap."/>
    <n v="129"/>
    <s v="USD"/>
    <s v="2024-02-19T08:50:39.688602"/>
    <s v="jackets"/>
    <x v="0"/>
    <x v="1"/>
  </r>
  <r>
    <n v="186681"/>
    <s v="End-cap"/>
    <s v="No"/>
    <s v="Clothing"/>
    <s v="Yes"/>
    <n v="1717"/>
    <s v="Zara"/>
    <s v="https://www.zara.com/us/en/lightweight-puffer-jacket-p04302520.html"/>
    <s v="267133943-711-2"/>
    <s v="LIGHTWEIGHT PUFFER JACKET"/>
    <s v="Padded jacket made of technical fabric. High collar and long sleeves. Welt pockets at hip. Elasticized trim. Front zip closure."/>
    <n v="19.989999999999998"/>
    <s v="USD"/>
    <s v="2024-02-19T08:50:40.213708"/>
    <s v="jackets"/>
    <x v="0"/>
    <x v="0"/>
  </r>
  <r>
    <n v="133183"/>
    <s v="Front of Store"/>
    <s v="Yes"/>
    <s v="Clothing"/>
    <s v="Yes"/>
    <n v="2859"/>
    <s v="Zara"/>
    <s v="https://www.zara.com/us/en/cotton-blend-bomber-jacket-p06518350.html"/>
    <s v="318265017-401-2"/>
    <s v="COTTON BLEND BOMBER JACKET"/>
    <s v="Jacket made of cotton blend fabric. High collar and long sleeves. Welt pockets at hip. Rib trim. Cropped length. Front zip closure."/>
    <n v="89.9"/>
    <s v="USD"/>
    <s v="2024-02-19T08:50:40.898654"/>
    <s v="jackets"/>
    <x v="0"/>
    <x v="1"/>
  </r>
  <r>
    <n v="173508"/>
    <s v="Aisle"/>
    <s v="Yes"/>
    <s v="Clothing"/>
    <s v="No"/>
    <n v="1658"/>
    <s v="Zara"/>
    <s v="https://www.zara.com/us/en/pocket-jacket-p06318507.html"/>
    <s v="322410604-401-2"/>
    <s v="POCKET JACKET"/>
    <s v="Jacket made of dense technical fabric. Lapel collar and long sleeves with buttoned cuffs. Multi-functional front pockets. Front zip hidden by a snap button flap."/>
    <n v="129"/>
    <s v="USD"/>
    <s v="2024-02-19T08:50:41.427891"/>
    <s v="jackets"/>
    <x v="0"/>
    <x v="1"/>
  </r>
  <r>
    <n v="187930"/>
    <s v="End-cap"/>
    <s v="No"/>
    <s v="Clothing"/>
    <s v="Yes"/>
    <n v="706"/>
    <s v="Zara"/>
    <s v="https://www.zara.com/us/en/oversized-bomber-jacket-p08281311.html"/>
    <s v="324149982-982-2"/>
    <s v="OVERSIZED BOMBER JACKET"/>
    <s v="Oversized jacket made of technical fabric. High collar and long sleeves with pocket detail. Welt pockets at hip and interior pocket. Rib trim. Adjustable asymmetric hem with side zippers. Front zip closure."/>
    <n v="89.9"/>
    <s v="USD"/>
    <s v="2024-02-19T08:50:41.944116"/>
    <s v="jackets"/>
    <x v="0"/>
    <x v="1"/>
  </r>
  <r>
    <n v="124088"/>
    <s v="End-cap"/>
    <s v="Yes"/>
    <s v="Clothing"/>
    <s v="Yes"/>
    <n v="2065"/>
    <s v="Zara"/>
    <s v="https://www.zara.com/us/en/embroidered-patch-jacket-p05320345.html"/>
    <s v="320531693-707-2"/>
    <s v="EMBROIDERED PATCH JACKET"/>
    <s v="Roomy jacket made of lightweight fabric. Lapel collar and long sleeves with elastic cuffs. Contrasting patch appliquÃ©s with embroidery at front and back. Front pouch pocket. Elastic hem. Front zip closure."/>
    <n v="79.900000000000006"/>
    <s v="USD"/>
    <s v="2024-02-19T08:50:42.629521"/>
    <s v="jackets"/>
    <x v="0"/>
    <x v="1"/>
  </r>
  <r>
    <n v="190238"/>
    <s v="Front of Store"/>
    <s v="No"/>
    <s v="Clothing"/>
    <s v="Yes"/>
    <n v="1917"/>
    <s v="Zara"/>
    <s v="https://www.zara.com/us/en/acid-wash-denim-jacket-p06688401.html"/>
    <s v="328279967-409-3"/>
    <s v="ACID WASH DENIM JACKET"/>
    <s v="Jacket made of cotton denim. Lapel collar and long sleeves with buttoned cuffs. Patch pockets at chest and side pockets at hip. Washed effect. Front zip closure."/>
    <n v="89.9"/>
    <s v="USD"/>
    <s v="2024-02-19T08:50:43.067567"/>
    <s v="jackets"/>
    <x v="0"/>
    <x v="1"/>
  </r>
  <r>
    <n v="163234"/>
    <s v="Front of Store"/>
    <s v="No"/>
    <s v="Clothing"/>
    <s v="No"/>
    <n v="1633"/>
    <s v="Zara"/>
    <s v="https://www.zara.com/us/en/textured-denim-jacket-limited-edition-p01538430.html"/>
    <s v="322972491-800-2"/>
    <s v="TEXTURED DENIM JACKET LIMITED EDITION"/>
    <s v="Lapel collar jacket with long sleeves with buttoned cuffs. Flap pockets at chest and welt pockets at hip. All over washed and uneven textured effect. Front button closure."/>
    <n v="89.9"/>
    <s v="USD"/>
    <s v="2024-02-19T08:50:44.126726"/>
    <s v="jackets"/>
    <x v="0"/>
    <x v="1"/>
  </r>
  <r>
    <n v="135610"/>
    <s v="Aisle"/>
    <s v="Yes"/>
    <s v="Clothing"/>
    <s v="Yes"/>
    <n v="1513"/>
    <s v="Zara"/>
    <s v="https://www.zara.com/us/en/wool-blend-jacket-p09621448.html"/>
    <s v="321501682-800-2"/>
    <s v="WOOL BLEND JACKET"/>
    <s v="Jacket made of wool blend fabric. Lapel collar and long sleeves. Welt pockets at hip and interior pocket. Rib trim. Front zip closure."/>
    <n v="109"/>
    <s v="USD"/>
    <s v="2024-02-19T08:50:45.034237"/>
    <s v="jackets"/>
    <x v="0"/>
    <x v="1"/>
  </r>
  <r>
    <n v="117065"/>
    <s v="Aisle"/>
    <s v="Yes"/>
    <s v="Clothing"/>
    <s v="Yes"/>
    <n v="758"/>
    <s v="Zara"/>
    <s v="https://www.zara.com/us/en/cotton---linen-blend-jacket-p00706103.html"/>
    <s v="328616906-712-2"/>
    <s v="COTTON - LINEN BLEND JACKET"/>
    <s v="Jacket made of cotton and linen blend fabric. Lapel collar and long sleeves with buttoned cuffs. Patch pocket at chest and side pockets at hip. Elastic hem. Front zip closure."/>
    <n v="109"/>
    <s v="USD"/>
    <s v="2024-02-19T08:50:45.809524"/>
    <s v="jackets"/>
    <x v="0"/>
    <x v="1"/>
  </r>
  <r>
    <n v="149315"/>
    <s v="End-cap"/>
    <s v="Yes"/>
    <s v="Clothing"/>
    <s v="No"/>
    <n v="718"/>
    <s v="Zara"/>
    <s v="https://www.zara.com/us/en/fleece-bomber-jacket-p08281405.html"/>
    <s v="311292541-802-2"/>
    <s v="FLEECE BOMBER JACKET"/>
    <s v="Jacket made of faux shearling fabric. Rib elastic collar and long sleeves. Welt pockets at hip and interior pocket. Rib trim. Front zip closure."/>
    <n v="109"/>
    <s v="USD"/>
    <s v="2024-02-19T08:50:46.259361"/>
    <s v="jackets"/>
    <x v="0"/>
    <x v="1"/>
  </r>
  <r>
    <n v="149510"/>
    <s v="Aisle"/>
    <s v="No"/>
    <s v="Clothing"/>
    <s v="Yes"/>
    <n v="1412"/>
    <s v="Zara"/>
    <s v="https://www.zara.com/us/en/zippered-jacket-p04087418.html"/>
    <s v="319205114-807-2"/>
    <s v="ZIPPERED JACKET"/>
    <s v="Lapel collar jacket with long sleeves. Front pouch pockets. Front zip closure."/>
    <n v="59.9"/>
    <s v="USD"/>
    <s v="2024-02-19T08:50:47.254145"/>
    <s v="jackets"/>
    <x v="0"/>
    <x v="1"/>
  </r>
  <r>
    <n v="137990"/>
    <s v="Aisle"/>
    <s v="No"/>
    <s v="Clothing"/>
    <s v="No"/>
    <n v="2929"/>
    <s v="Zara"/>
    <s v="https://www.zara.com/us/en/cotton-jacket-p00706301.html"/>
    <s v="276213846-500-2"/>
    <s v="COTTON JACKET"/>
    <s v="Lapel collar jacket with long sleeves with elastic cuffs. Patch pockets at hip. Elastic hem. Front snap button closure."/>
    <n v="29.99"/>
    <s v="USD"/>
    <s v="2024-02-19T08:50:49.940814"/>
    <s v="jackets"/>
    <x v="0"/>
    <x v="2"/>
  </r>
  <r>
    <n v="154016"/>
    <s v="End-cap"/>
    <s v="Yes"/>
    <s v="Clothing"/>
    <s v="Yes"/>
    <n v="2366"/>
    <s v="Zara"/>
    <s v="https://www.zara.com/us/en/wool-blend-textured-jacket-p04296310.html"/>
    <s v="328244979-064-48"/>
    <s v="WOOL BLEND TEXTURED JACKET"/>
    <s v="Jacket made of wool blend fabric. Pointed lapel collar and long sleeves with buttoned cuffs. Welt pockets at chest and flap pockets at hip. Interior pocket. Back vents. Front double breasted button closure."/>
    <n v="189"/>
    <s v="USD"/>
    <s v="2024-02-19T08:50:48.692260"/>
    <s v="jackets"/>
    <x v="0"/>
    <x v="1"/>
  </r>
  <r>
    <n v="117751"/>
    <s v="Aisle"/>
    <s v="No"/>
    <s v="Clothing"/>
    <s v="No"/>
    <n v="2749"/>
    <s v="Zara"/>
    <s v="https://www.zara.com/us/en/contrast-jacquard-jacket-p04087423.html"/>
    <s v="323050745-798-97"/>
    <s v="CONTRAST JACQUARD JACKET"/>
    <s v="Full cut jacket with lapel collar and long sleeves. Front button closure."/>
    <n v="89.9"/>
    <s v="USD"/>
    <s v="2024-02-19T08:50:51.200272"/>
    <s v="jackets"/>
    <x v="0"/>
    <x v="1"/>
  </r>
  <r>
    <n v="182362"/>
    <s v="Front of Store"/>
    <s v="No"/>
    <s v="Clothing"/>
    <s v="No"/>
    <n v="2019"/>
    <s v="Zara"/>
    <s v="https://www.zara.com/us/en/cropped-overshirt-p04432403.html"/>
    <s v="319166635-401-2"/>
    <s v="CROPPED OVERSHIRT"/>
    <s v="Cropped overshirt made of contrast double faced fabric. Lapel collar and long sleeves with buttoned cuffs. Chest patch pocket. Adjustable hem with side elastics. Front button closure partially hidden by a flap."/>
    <n v="69.900000000000006"/>
    <s v="USD"/>
    <s v="2024-02-19T08:50:51.711859"/>
    <s v="jackets"/>
    <x v="0"/>
    <x v="1"/>
  </r>
  <r>
    <n v="117725"/>
    <s v="Aisle"/>
    <s v="No"/>
    <s v="Clothing"/>
    <s v="Yes"/>
    <n v="1506"/>
    <s v="Zara"/>
    <s v="https://www.zara.com/us/en/contrasting-patches-hooded-jacket-p03833400.html"/>
    <s v="311297489-800-2"/>
    <s v="CONTRASTING PATCHES HOODED JACKET"/>
    <s v="Varsity jacket with stretchy collar and contrasting hood. Long sleeves. Welt pockets at hip and interior pocket. Embroidered appliquÃ© and contrast front and back patches. Rib trim. Front snap button closure."/>
    <n v="109"/>
    <s v="USD"/>
    <s v="2024-02-19T08:50:52.206404"/>
    <s v="jackets"/>
    <x v="0"/>
    <x v="1"/>
  </r>
  <r>
    <n v="145289"/>
    <s v="End-cap"/>
    <s v="No"/>
    <s v="Clothing"/>
    <s v="No"/>
    <n v="1012"/>
    <s v="Zara"/>
    <s v="https://www.zara.com/us/en/utility-pocket-jacket-p05520451.html"/>
    <s v="311292073-709-2"/>
    <s v="UTILITY POCKET JACKET"/>
    <s v="Cropped jacket. Lapel collar and long sleeves. Front utility pockets with zip closure. Washed effect. Elastic hem. Adjustable hem with side elastics. Front zip closure."/>
    <n v="109"/>
    <s v="USD"/>
    <s v="2024-02-19T08:50:52.732112"/>
    <s v="jackets"/>
    <x v="0"/>
    <x v="1"/>
  </r>
  <r>
    <n v="175059"/>
    <s v="Aisle"/>
    <s v="Yes"/>
    <s v="Clothing"/>
    <s v="No"/>
    <n v="2170"/>
    <s v="Zara"/>
    <s v="https://www.zara.com/us/en/lightweight-bomber-jacket-p04302404.html"/>
    <s v="311292572-401-2"/>
    <s v="LIGHTWEIGHT BOMBER JACKET"/>
    <s v="Lightweight jacket made of technical fabric. Round neck and long sleeves. Welt pockets at hip. Interior pocket. Rib trim. Front zip closure."/>
    <n v="49.9"/>
    <s v="USD"/>
    <s v="2024-02-19T08:50:54.927480"/>
    <s v="jackets"/>
    <x v="0"/>
    <x v="2"/>
  </r>
  <r>
    <n v="199368"/>
    <s v="Front of Store"/>
    <s v="No"/>
    <s v="Clothing"/>
    <s v="Yes"/>
    <n v="1061"/>
    <s v="Zara"/>
    <s v="https://www.zara.com/us/en/wool-blend-jacket-p05854654.html"/>
    <s v="336821611-706-2"/>
    <s v="WOOL BLEND JACKET"/>
    <s v="Lapel collar jacket with long sleeves with buttoned cuffs. Chest patch pockets and welt pockets at hip. Front button closure."/>
    <n v="139"/>
    <s v="USD"/>
    <s v="2024-02-19T08:50:55.455689"/>
    <s v="jackets"/>
    <x v="0"/>
    <x v="1"/>
  </r>
  <r>
    <n v="162883"/>
    <s v="Front of Store"/>
    <s v="Yes"/>
    <s v="Clothing"/>
    <s v="No"/>
    <n v="786"/>
    <s v="Zara"/>
    <s v="https://www.zara.com/us/en/technical-padded-jacket-p06518501.html"/>
    <s v="311307584-518-2"/>
    <s v="TECHNICAL PADDED JACKET"/>
    <s v="Jacket made of technical fabric with padded interior. High collar with foldable interior hood. Long sleeves with interior rib cuffs. Front pockets with hidden zip closure and interior pocket detail. Adjustable hem with side elastics. Front zip hidden by a snap button flap."/>
    <n v="139"/>
    <s v="USD"/>
    <s v="2024-02-19T08:50:55.898064"/>
    <s v="jackets"/>
    <x v="0"/>
    <x v="1"/>
  </r>
  <r>
    <n v="135490"/>
    <s v="Front of Store"/>
    <s v="No"/>
    <s v="Clothing"/>
    <s v="No"/>
    <n v="1094"/>
    <s v="Zara"/>
    <s v="https://www.zara.com/us/en/mixed-collar-waxed-jacket-p06861405.html"/>
    <s v="321151893-609-2"/>
    <s v="MIXED COLLAR WAXED JACKET"/>
    <s v="Jacket made of waxed finish fabric with lightly padded interior. Contrast fabric lapel collar. Long sleeves. Patch pockets at hip. Interior pocket. Slightly cropped length. Front hidden zip and button closure."/>
    <n v="139"/>
    <s v="USD"/>
    <s v="2024-02-19T08:50:56.349784"/>
    <s v="jackets"/>
    <x v="0"/>
    <x v="1"/>
  </r>
  <r>
    <n v="125408"/>
    <s v="End-cap"/>
    <s v="Yes"/>
    <s v="Clothing"/>
    <s v="Yes"/>
    <n v="2220"/>
    <s v="Zara"/>
    <s v="https://www.zara.com/us/en/contrasting-patches-bomber-jacket-p03833401.html"/>
    <s v="311297509-800-2"/>
    <s v="CONTRASTING PATCHES BOMBER JACKET"/>
    <s v="Varsity jacket with elastic collar and long sleeves. Welt pockets at hip and interior pocket. Embroidered appliquÃ© and contrast front and back patches. Rib trim. Front snap button closure."/>
    <n v="89.9"/>
    <s v="USD"/>
    <s v="2024-02-19T08:50:56.784017"/>
    <s v="jackets"/>
    <x v="0"/>
    <x v="1"/>
  </r>
  <r>
    <n v="134763"/>
    <s v="Front of Store"/>
    <s v="No"/>
    <s v="Clothing"/>
    <s v="Yes"/>
    <n v="2048"/>
    <s v="Zara"/>
    <s v="https://www.zara.com/us/en/padded-bomber-jacket-p03918620.html"/>
    <s v="315947178-800-2"/>
    <s v="PADDED BOMBER JACKET"/>
    <s v="Quilted jacket made of technical fabric. Lapel collar and long sleeves. Welt pockets at hip. Rib trim. Front zip closure."/>
    <n v="89.9"/>
    <s v="USD"/>
    <s v="2024-02-19T08:50:57.586300"/>
    <s v="jackets"/>
    <x v="0"/>
    <x v="1"/>
  </r>
  <r>
    <n v="143231"/>
    <s v="Aisle"/>
    <s v="No"/>
    <s v="Clothing"/>
    <s v="No"/>
    <n v="2578"/>
    <s v="Zara"/>
    <s v="https://www.zara.com/us/en/technical-padded-jacket-p03833311.html"/>
    <s v="311297745-800-2"/>
    <s v="TECHNICAL PADDED JACKET"/>
    <s v="Jacket made of technical fabric with padded interior. Lapel collar and long sleeves with elastic cuffs. Welt pockets at hip and interior pocket. Adjustable drawstring hem. Front snap button closure."/>
    <n v="89.9"/>
    <s v="USD"/>
    <s v="2024-02-19T08:50:58.065096"/>
    <s v="jackets"/>
    <x v="0"/>
    <x v="1"/>
  </r>
  <r>
    <n v="125409"/>
    <s v="End-cap"/>
    <s v="Yes"/>
    <s v="Clothing"/>
    <s v="No"/>
    <n v="2040"/>
    <s v="Zara"/>
    <s v="https://www.zara.com/us/en/pocket-denim-jacket-p00840482.html"/>
    <s v="330290360-427-3"/>
    <s v="POCKET DENIM JACKET"/>
    <s v="Slightly cropped denim jacket. Lapel collar and long sleeves with buttoned cuffs. Flap patch pocket at chest and side hip. Washed effect. Front button closure."/>
    <n v="89.9"/>
    <s v="USD"/>
    <s v="2024-02-19T08:50:58.577931"/>
    <s v="jackets"/>
    <x v="0"/>
    <x v="1"/>
  </r>
  <r>
    <n v="183074"/>
    <s v="Aisle"/>
    <s v="No"/>
    <s v="Clothing"/>
    <s v="No"/>
    <n v="2791"/>
    <s v="Zara"/>
    <s v="https://www.zara.com/us/en/boxy-fit-denim-jacket-p00840402.html"/>
    <s v="320449897-427-2"/>
    <s v="BOXY FIT DENIM JACKET"/>
    <s v="Boxy fit jacket. Lapel collar and long sleeves with buttoned cuffs. Patch pockets at hip. Washed effect.Asymmetric hem with side vents. Front button closure."/>
    <n v="89.9"/>
    <s v="USD"/>
    <s v="2024-02-19T08:50:59.005564"/>
    <s v="jackets"/>
    <x v="0"/>
    <x v="1"/>
  </r>
  <r>
    <n v="147947"/>
    <s v="Aisle"/>
    <s v="Yes"/>
    <s v="Clothing"/>
    <s v="Yes"/>
    <n v="1249"/>
    <s v="Zara"/>
    <s v="https://www.zara.com/us/en/faux-shearling-plaid-jacket-p00993305.html"/>
    <s v="311297724-700-97"/>
    <s v="FAUX SHEARLING PLAID JACKET"/>
    <s v="Jacket made of faux shearling fabric. V-neckline and long sleeves with elastic cuffs. Lined interior with structured mesh fabric. Welt pockets at hip. Adjustable hem with side elastics. Front snap button closure."/>
    <n v="89.9"/>
    <s v="USD"/>
    <s v="2024-02-19T08:50:59.512967"/>
    <s v="jackets"/>
    <x v="0"/>
    <x v="1"/>
  </r>
  <r>
    <n v="174171"/>
    <s v="Front of Store"/>
    <s v="Yes"/>
    <s v="Clothing"/>
    <s v="Yes"/>
    <n v="2273"/>
    <s v="Zara"/>
    <s v="https://www.zara.com/us/en/embroidered-forest-jacket-p02795407.html"/>
    <s v="328332050-700-97"/>
    <s v="EMBROIDERED FOREST JACKET"/>
    <s v="Jacket with lightly padded interior. Corduroy lapel collar. Long sleeves. Patch pockets at hip. Front button closure."/>
    <n v="89.9"/>
    <s v="USD"/>
    <s v="2024-02-19T08:50:59.919169"/>
    <s v="jackets"/>
    <x v="0"/>
    <x v="1"/>
  </r>
  <r>
    <n v="183064"/>
    <s v="Front of Store"/>
    <s v="Yes"/>
    <s v="Clothing"/>
    <s v="No"/>
    <n v="1773"/>
    <s v="Zara"/>
    <s v="https://www.zara.com/us/en/pocket-overshirt-p05070605.html"/>
    <s v="311282469-505-2"/>
    <s v="POCKET OVERSHIRT"/>
    <s v="Cropped overshirt. Lapel collar and long sleeves with buttoned cuffs. Front patch pockets. Irregular finished seams. Front button closure."/>
    <n v="89.9"/>
    <s v="USD"/>
    <s v="2024-02-19T08:51:00.445955"/>
    <s v="jackets"/>
    <x v="0"/>
    <x v="1"/>
  </r>
  <r>
    <n v="177131"/>
    <s v="Aisle"/>
    <s v="Yes"/>
    <s v="Clothing"/>
    <s v="Yes"/>
    <n v="1733"/>
    <s v="Zara"/>
    <s v="https://www.zara.com/us/en/boucle-textured-vest-p01437303.html"/>
    <s v="319502128-515-2"/>
    <s v="BOUCLE TEXTURED VEST"/>
    <s v="Vest made of viscose and wool blend fabric. V-neckline. Patch pockets at hip. Front zip closure."/>
    <n v="69.900000000000006"/>
    <s v="USD"/>
    <s v="2024-02-19T08:51:00.909778"/>
    <s v="jackets"/>
    <x v="0"/>
    <x v="1"/>
  </r>
  <r>
    <n v="128179"/>
    <s v="End-cap"/>
    <s v="Yes"/>
    <s v="Clothing"/>
    <s v="No"/>
    <n v="2060"/>
    <s v="Zara"/>
    <s v="https://www.zara.com/us/en/color-block-puffer-jacket-p08281365.html"/>
    <s v="311287226-472-2"/>
    <s v="COLOR BLOCK PUFFER JACKET"/>
    <s v="Jacket made of technical fabric with padded interior. High collar and long sleeves with elastic cuffs. Front pockets with hidden zip closure. Elastic hem. Front zip closure."/>
    <n v="89.9"/>
    <s v="USD"/>
    <s v="2024-02-19T08:51:03.376537"/>
    <s v="jackets"/>
    <x v="0"/>
    <x v="1"/>
  </r>
  <r>
    <n v="152723"/>
    <s v="Aisle"/>
    <s v="No"/>
    <s v="Clothing"/>
    <s v="Yes"/>
    <n v="2849"/>
    <s v="Zara"/>
    <s v="https://www.zara.com/us/en/longline-quilted-jacket-p05071688.html"/>
    <s v="316683359-818-2"/>
    <s v="LONGLINE QUILTED JACKET"/>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n v="169"/>
    <s v="USD"/>
    <s v="2024-02-19T08:51:03.976837"/>
    <s v="jackets"/>
    <x v="0"/>
    <x v="1"/>
  </r>
  <r>
    <n v="123824"/>
    <s v="Aisle"/>
    <s v="Yes"/>
    <s v="Clothing"/>
    <s v="No"/>
    <n v="2277"/>
    <s v="Zara"/>
    <s v="https://www.zara.com/us/en/wool-blend-suit-jacket-p04156504.html"/>
    <s v="322901350-800-46"/>
    <s v="WOOL BLEND SUIT JACKET"/>
    <s v="Straight fit jacket made of wool blend fabric. Notched lapel collar and long sleeves with buttoned cuffs. Welt pockets at chest and flap pockets at hip. Interior pocket. Central vent at back hem. Front button closure."/>
    <n v="169"/>
    <s v="USD"/>
    <s v="2024-02-19T08:51:04.381493"/>
    <s v="jackets"/>
    <x v="0"/>
    <x v="1"/>
  </r>
  <r>
    <n v="166345"/>
    <s v="Aisle"/>
    <s v="No"/>
    <s v="Clothing"/>
    <s v="Yes"/>
    <n v="1135"/>
    <s v="Zara"/>
    <s v="https://www.zara.com/us/en/hooded-knit-cardigan-p02621407.html"/>
    <s v="322929313-802-97"/>
    <s v="HOODED KNIT CARDIGAN"/>
    <s v="Cotton knit jacket. Hooded collar and long sleeves. Rib trim. Front pouch pockets. Rib trim. Front zip closure."/>
    <n v="69.900000000000006"/>
    <s v="USD"/>
    <s v="2024-02-19T08:51:04.832708"/>
    <s v="jackets"/>
    <x v="0"/>
    <x v="1"/>
  </r>
  <r>
    <n v="199279"/>
    <s v="Aisle"/>
    <s v="No"/>
    <s v="Clothing"/>
    <s v="No"/>
    <n v="1770"/>
    <s v="Zara"/>
    <s v="https://www.zara.com/us/en/hooded-technical-jacket-p01538301.html"/>
    <s v="267186163-643-2"/>
    <s v="HOODED TECHNICAL JACKET"/>
    <s v="Jacket made of technical fabric with brushed interior. High collar with adjustable hood. Long sleeves with cuffs and adhesive straps. Zip pockets at chest and hip. Front zip closure."/>
    <n v="19.989999999999998"/>
    <s v="USD"/>
    <s v="2024-02-19T08:51:05.301146"/>
    <s v="jackets"/>
    <x v="0"/>
    <x v="0"/>
  </r>
  <r>
    <n v="167981"/>
    <s v="End-cap"/>
    <s v="No"/>
    <s v="Clothing"/>
    <s v="No"/>
    <n v="730"/>
    <s v="Zara"/>
    <s v="https://www.zara.com/us/en/houndstooth-suit-jacket-p04285498.html"/>
    <s v="329706743-401-46"/>
    <s v="HOUNDSTOOTH SUIT JACKET"/>
    <s v="Straight fit blazer. Notched lapel collar and long sleeves with buttoned cuffs. Welt pocket at chest and flap pockets at hip. Interior pocket. Back vents. Front button closure."/>
    <n v="139"/>
    <s v="USD"/>
    <s v="2024-02-19T08:51:05.729975"/>
    <s v="jackets"/>
    <x v="0"/>
    <x v="1"/>
  </r>
  <r>
    <n v="146839"/>
    <s v="Aisle"/>
    <s v="No"/>
    <s v="Clothing"/>
    <s v="No"/>
    <n v="1525"/>
    <s v="Zara"/>
    <s v="https://www.zara.com/us/en/bomber-jacket-p05344402.html"/>
    <s v="321496813-710-2"/>
    <s v="BOMBER JACKET"/>
    <s v="Jacket with padded interior. Rib elastic collar and long sleeves. Flap pockets at hip and interior pocket. Rib trim. Front zip closure."/>
    <n v="109"/>
    <s v="USD"/>
    <s v="2024-02-19T08:51:06.241653"/>
    <s v="jackets"/>
    <x v="0"/>
    <x v="1"/>
  </r>
  <r>
    <n v="187180"/>
    <s v="Front of Store"/>
    <s v="No"/>
    <s v="Clothing"/>
    <s v="Yes"/>
    <n v="647"/>
    <s v="Zara"/>
    <s v="https://www.zara.com/us/en/hooded-technical-jacket-p00155502.html"/>
    <s v="312596416-800-2"/>
    <s v="HOODED TECHNICAL JACKET"/>
    <s v="Cropped jacket made of technical fabric. Hooded high collar and long sleeves with adjustable snap button cuffs. Front patch pockets with flaps at hips. Adjustable hem with side elastics. Front zip hidden by a snap button flap."/>
    <n v="109"/>
    <s v="USD"/>
    <s v="2024-02-19T08:51:06.707251"/>
    <s v="jackets"/>
    <x v="0"/>
    <x v="1"/>
  </r>
  <r>
    <n v="167640"/>
    <s v="End-cap"/>
    <s v="Yes"/>
    <s v="Clothing"/>
    <s v="Yes"/>
    <n v="1017"/>
    <s v="Zara"/>
    <s v="https://www.zara.com/us/en/hooded-technical-jacket-p08281355.html"/>
    <s v="311287132-251-2"/>
    <s v="HOODED TECHNICAL JACKET"/>
    <s v="Jacket made of technical fabric. High collar with adjustable drawstring hood. Long sleeves with rib cuffs. Chest welt pocket and hip patch pockets. Interior pocket. Adjustable hem with elastics at sides. Front zip hidden by a snap button flap."/>
    <n v="109"/>
    <s v="USD"/>
    <s v="2024-02-19T08:51:07.123755"/>
    <s v="jackets"/>
    <x v="0"/>
    <x v="1"/>
  </r>
  <r>
    <n v="165158"/>
    <s v="Front of Store"/>
    <s v="No"/>
    <s v="Clothing"/>
    <s v="No"/>
    <n v="1622"/>
    <s v="Zara"/>
    <s v="https://www.zara.com/us/en/washed-effect-bomber-jacket-p08281307.html"/>
    <s v="323675323-700-2"/>
    <s v="WASHED EFFECT BOMBER JACKET"/>
    <s v="Jacket made of technical fabric. Lapel collar and long sleeves with pocket detail. Welt pockets at hip and interior pocket. Washed effect. Elasticized trim. Front zip hidden by a snap button flap."/>
    <n v="109"/>
    <s v="USD"/>
    <s v="2024-02-19T08:51:07.574182"/>
    <s v="jackets"/>
    <x v="0"/>
    <x v="1"/>
  </r>
  <r>
    <n v="111521"/>
    <s v="Front of Store"/>
    <s v="Yes"/>
    <s v="Clothing"/>
    <s v="Yes"/>
    <n v="2553"/>
    <s v="Zara"/>
    <s v="https://www.zara.com/us/en/washed-technical-jacket-p04695300.html"/>
    <s v="323672371-507-2"/>
    <s v="WASHED TECHNICAL JACKET"/>
    <s v="Jacket made of technical fabric. High collar and long sleeves with adjustable cuffs with snap button straps. Flap patch pockets at hip. Adjustable drawstring hem. Washed effect. Front zip hidden by a snap button flap."/>
    <n v="99.9"/>
    <s v="USD"/>
    <s v="2024-02-19T08:51:08.034717"/>
    <s v="jackets"/>
    <x v="0"/>
    <x v="1"/>
  </r>
  <r>
    <n v="120228"/>
    <s v="End-cap"/>
    <s v="No"/>
    <s v="Clothing"/>
    <s v="No"/>
    <n v="2347"/>
    <s v="Zara"/>
    <s v="https://www.zara.com/us/en/100-feather-fill-puffer-jacket-p00155480.html"/>
    <s v="327116625-505-2"/>
    <s v="100% FEATHER FILL PUFFER JACKET"/>
    <s v="Puffer vest made of technical fabric. Fill is a blend of 60% down and 40% feather. Sleeveless design with high collar. Zip pockets at hip and interior pocket. Adjustable hem with side elastics. Front snap button closure."/>
    <n v="89.9"/>
    <s v="USD"/>
    <s v="2024-02-19T08:51:09.075286"/>
    <s v="jackets"/>
    <x v="0"/>
    <x v="1"/>
  </r>
  <r>
    <n v="133078"/>
    <s v="Aisle"/>
    <s v="No"/>
    <s v="Clothing"/>
    <s v="Yes"/>
    <n v="2535"/>
    <s v="Zara"/>
    <s v="https://www.zara.com/us/en/padded-bomber-jacket-p03918400.html"/>
    <s v="311302424-409-2"/>
    <s v="PADDED BOMBER JACKET"/>
    <s v="Jacket made of technical fabric with lightly padded interior. Rib elastic collar and long sleeves. Zip pockets at hip. Elastic hem. Front zip closure."/>
    <n v="69.900000000000006"/>
    <s v="USD"/>
    <s v="2024-02-19T08:51:09.691591"/>
    <s v="jackets"/>
    <x v="0"/>
    <x v="1"/>
  </r>
  <r>
    <n v="137598"/>
    <s v="Aisle"/>
    <s v="No"/>
    <s v="Clothing"/>
    <s v="Yes"/>
    <n v="2839"/>
    <s v="Zara"/>
    <s v="https://www.zara.com/us/en/pocket-jacket-p04297266.html"/>
    <s v="329158644-605-2"/>
    <s v="POCKET JACKET"/>
    <s v="Regular fit jacket with lapel collar and long sleeves. Patch pockets at chest and hip. Front button closure."/>
    <n v="139"/>
    <s v="USD"/>
    <s v="2024-02-19T08:51:16.093596"/>
    <s v="jackets"/>
    <x v="0"/>
    <x v="1"/>
  </r>
  <r>
    <n v="138779"/>
    <s v="Front of Store"/>
    <s v="Yes"/>
    <s v="Clothing"/>
    <s v="Yes"/>
    <n v="2801"/>
    <s v="Zara"/>
    <s v="https://www.zara.com/us/en/slim-fit-suit-jacket-p04239493.html"/>
    <s v="329300083-705-48"/>
    <s v="SLIM FIT SUIT JACKET"/>
    <s v="Slim fit jacket made of viscose blend fabric. Notched lapel collar. Long sleeves with buttoned cuffs. Welt pocket at chest and flap pockets at hip. Interior pocket. Back vents. Front button closure."/>
    <n v="139"/>
    <s v="USD"/>
    <s v="2024-02-19T08:51:16.538826"/>
    <s v="jackets"/>
    <x v="0"/>
    <x v="1"/>
  </r>
  <r>
    <n v="198329"/>
    <s v="Front of Store"/>
    <s v="Yes"/>
    <s v="Clothing"/>
    <s v="Yes"/>
    <n v="628"/>
    <s v="Zara"/>
    <s v="https://www.zara.com/us/en/mixed-collar-jacket-p03046507.html"/>
    <s v="323212374-510-2"/>
    <s v="MIXED COLLAR JACKET"/>
    <s v="Jacket made of technical fabric with lightly padded interior. Rib high collar. Long sleeves with elastic cuffs. Patch pockets at hip. Front zip closure."/>
    <n v="109"/>
    <s v="USD"/>
    <s v="2024-02-19T08:51:16.995121"/>
    <s v="jackets"/>
    <x v="0"/>
    <x v="1"/>
  </r>
  <r>
    <n v="110295"/>
    <s v="End-cap"/>
    <s v="Yes"/>
    <s v="Clothing"/>
    <s v="No"/>
    <n v="1448"/>
    <s v="Zara"/>
    <s v="https://www.zara.com/us/en/hooded-denim-jacket-p01538428.html"/>
    <s v="322547863-811-2"/>
    <s v="HOODED DENIM JACKET"/>
    <s v="Boxy fit jacket. High collar with adjustable hood and long sleeves with buttoned cuffs. Patch pockets with flaps at chest. Front straps with multi-functional ring. Washed effect. Front hidden zip and snap button closure."/>
    <n v="129"/>
    <s v="USD"/>
    <s v="2024-02-19T08:51:17.402321"/>
    <s v="jackets"/>
    <x v="0"/>
    <x v="1"/>
  </r>
  <r>
    <n v="196427"/>
    <s v="Aisle"/>
    <s v="Yes"/>
    <s v="Clothing"/>
    <s v="No"/>
    <n v="1401"/>
    <s v="Zara"/>
    <s v="https://www.zara.com/us/en/waxed-effect-plaid-jacket-p04272302.html"/>
    <s v="320600266-745-2"/>
    <s v="WAXED EFFECT PLAID JACKET"/>
    <s v="Cropped jacket made of cotton with waxed finish. Lapel collar and long adjustable cuffed sleeves. Welt pockets at hip and interior pocket. Adjustable front drawcord hem. Front zip closure."/>
    <n v="169"/>
    <s v="USD"/>
    <s v="2024-02-19T08:51:17.903438"/>
    <s v="jackets"/>
    <x v="0"/>
    <x v="1"/>
  </r>
  <r>
    <n v="110075"/>
    <s v="Front of Store"/>
    <s v="Yes"/>
    <s v="Clothing"/>
    <s v="Yes"/>
    <n v="2185"/>
    <s v="Zara"/>
    <s v="https://www.zara.com/us/en/wool-blend-felt-texture-jacket-p04160752.html"/>
    <s v="320771732-800-2"/>
    <s v="WOOL BLEND FELT TEXTURE JACKET"/>
    <s v="Cropped jacket made with wool blend fabric. Lapel collar and long sleeves. Welt pockets at hip. Front hidden button closure."/>
    <n v="159"/>
    <s v="USD"/>
    <s v="2024-02-19T08:51:18.383516"/>
    <s v="jackets"/>
    <x v="0"/>
    <x v="1"/>
  </r>
  <r>
    <n v="132322"/>
    <s v="Front of Store"/>
    <s v="Yes"/>
    <s v="Clothing"/>
    <s v="No"/>
    <n v="2135"/>
    <s v="Zara"/>
    <s v="https://www.zara.com/us/en/printed-denim-overshirt-p02553808.html"/>
    <s v="289179723-020-2"/>
    <s v="PRINTED DENIM OVERSHIRT"/>
    <s v="Boxy fit overshirt. Lapel collar and short sleeves. Front snap button closure."/>
    <n v="12.99"/>
    <s v="USD"/>
    <s v="2024-02-19T08:51:30.601748"/>
    <s v="jackets"/>
    <x v="0"/>
    <x v="0"/>
  </r>
  <r>
    <n v="199631"/>
    <s v="Front of Store"/>
    <s v="Yes"/>
    <s v="Clothing"/>
    <s v="No"/>
    <n v="1269"/>
    <s v="Zara"/>
    <s v="https://www.zara.com/us/en/structured-twill-overshirt-p06861430.html"/>
    <s v="327747299-800-2"/>
    <s v="STRUCTURED TWILL OVERSHIRT"/>
    <s v="Regular fit overshirt made of 22% wool fabric. Lapel collar and long sleeves with buttoned cuffs. Patch pocket at chest and side pockets at hip. Side vents at hem. Front button closure."/>
    <n v="89.9"/>
    <s v="USD"/>
    <s v="2024-02-19T08:51:31.586576"/>
    <s v="jackets"/>
    <x v="0"/>
    <x v="1"/>
  </r>
  <r>
    <n v="182306"/>
    <s v="Front of Store"/>
    <s v="No"/>
    <s v="Clothing"/>
    <s v="No"/>
    <n v="2805"/>
    <s v="Zara"/>
    <s v="https://www.zara.com/us/en/cotton-overshirt-p09621103.html"/>
    <s v="317782501-701-2"/>
    <s v="COTTON OVERSHIRT"/>
    <s v="Relaxed fit overshirt made with cotton fabric. Lapel collar and long sleeves with buttoned cuffs. Flap patch pockets at chest and side hip pockets. Front button closure."/>
    <n v="89.9"/>
    <s v="USD"/>
    <s v="2024-02-19T08:51:32.152112"/>
    <s v="jackets"/>
    <x v="0"/>
    <x v="1"/>
  </r>
  <r>
    <n v="194915"/>
    <s v="Aisle"/>
    <s v="Yes"/>
    <s v="Clothing"/>
    <s v="No"/>
    <n v="1796"/>
    <s v="Zara"/>
    <s v="https://www.zara.com/us/en/reversible-plaid-overshirt-p09621301.html"/>
    <s v="311282298-099-2"/>
    <s v="REVERSIBLE PLAID OVERSHIRT"/>
    <s v="Relaxed fit reversible overshirt. Italian collar and long sleeves with buttoned cuffs. Chest patch pocket. Front button closure."/>
    <n v="79.900000000000006"/>
    <s v="USD"/>
    <s v="2024-02-19T08:51:32.570179"/>
    <s v="jackets"/>
    <x v="0"/>
    <x v="1"/>
  </r>
  <r>
    <n v="131298"/>
    <s v="End-cap"/>
    <s v="Yes"/>
    <s v="Clothing"/>
    <s v="No"/>
    <n v="2133"/>
    <s v="Zara"/>
    <s v="https://www.zara.com/us/en/plaid-overshirt-p01300100.html"/>
    <s v="322612356-505-2"/>
    <s v="PLAID OVERSHIRT"/>
    <s v="Relaxed fit overshirt made with cotton fabric. Lapel collar and long sleeves with buttoned cuffs. Patch pockets at hip. Washed effect. Front button closure."/>
    <n v="69.900000000000006"/>
    <s v="USD"/>
    <s v="2024-02-19T08:51:33.175357"/>
    <s v="jackets"/>
    <x v="0"/>
    <x v="1"/>
  </r>
  <r>
    <n v="168571"/>
    <s v="Aisle"/>
    <s v="No"/>
    <s v="Clothing"/>
    <s v="No"/>
    <n v="1778"/>
    <s v="Zara"/>
    <s v="https://www.zara.com/us/en/pocket-overshirt-p00706621.html"/>
    <s v="311282631-712-2"/>
    <s v="POCKET OVERSHIRT"/>
    <s v="Relaxed fit overshirt. Lapel collar and long sleeves with adjustable button cuffs. Welt pockets at hip. Front zip hidden by a snap button flap."/>
    <n v="89.9"/>
    <s v="USD"/>
    <s v="2024-02-19T08:51:33.607793"/>
    <s v="jackets"/>
    <x v="0"/>
    <x v="1"/>
  </r>
  <r>
    <n v="154224"/>
    <s v="End-cap"/>
    <s v="Yes"/>
    <s v="Clothing"/>
    <s v="No"/>
    <n v="2474"/>
    <s v="Zara"/>
    <s v="https://www.zara.com/us/en/100-linen-overshirt-p04224708.html"/>
    <s v="329282612-401-2"/>
    <s v="100% LINEN OVERSHIRT"/>
    <s v="Relaxed fit overshirt made of linen fabric. Lapel collar and long sleeves with buttoned cuffs. Chest patch pockets. Front button closure."/>
    <n v="89.9"/>
    <s v="USD"/>
    <s v="2024-02-19T08:51:34.039876"/>
    <s v="jackets"/>
    <x v="0"/>
    <x v="1"/>
  </r>
  <r>
    <n v="171061"/>
    <s v="Aisle"/>
    <s v="No"/>
    <s v="Clothing"/>
    <s v="Yes"/>
    <n v="2032"/>
    <s v="Zara"/>
    <s v="https://www.zara.com/us/en/plaid-overshirt-p08281303.html"/>
    <s v="320026789-714-2"/>
    <s v="PLAID OVERSHIRT"/>
    <s v="Relaxed fit overshirt made of viscose blend fabric. Lapel collar and long sleeves with buttoned cuffs. Chest patch pocket. Front button closure."/>
    <n v="59.9"/>
    <s v="USD"/>
    <s v="2024-02-19T08:51:34.443542"/>
    <s v="jackets"/>
    <x v="0"/>
    <x v="1"/>
  </r>
  <r>
    <n v="119049"/>
    <s v="Aisle"/>
    <s v="No"/>
    <s v="Clothing"/>
    <s v="Yes"/>
    <n v="1659"/>
    <s v="Zara"/>
    <s v="https://www.zara.com/us/en/pocket-denim-overshirt-p01472403.html"/>
    <s v="323216360-406-2"/>
    <s v="POCKET DENIM OVERSHIRT"/>
    <s v="Boxy fit overshirt. Lapel collar and long sleeves with buttoned cuffs. Chest patch pockets. Washed effect. Front button closure."/>
    <n v="89.9"/>
    <s v="USD"/>
    <s v="2024-02-19T08:51:35.399786"/>
    <s v="jackets"/>
    <x v="0"/>
    <x v="1"/>
  </r>
  <r>
    <n v="158781"/>
    <s v="End-cap"/>
    <s v="Yes"/>
    <s v="Clothing"/>
    <s v="Yes"/>
    <n v="2443"/>
    <s v="Zara"/>
    <s v="https://www.zara.com/us/en/faux-suede-overshirt-p03715303.html"/>
    <s v="318209963-800-2"/>
    <s v="FAUX SUEDE OVERSHIRT"/>
    <s v="Relaxed fit overshirt. Lapel collar and long sleeves. Chest patch pocket. Front snap button closure."/>
    <n v="69.900000000000006"/>
    <s v="USD"/>
    <s v="2024-02-19T08:51:35.881086"/>
    <s v="jackets"/>
    <x v="0"/>
    <x v="1"/>
  </r>
  <r>
    <n v="151438"/>
    <s v="Aisle"/>
    <s v="No"/>
    <s v="Clothing"/>
    <s v="Yes"/>
    <n v="1137"/>
    <s v="Zara"/>
    <s v="https://www.zara.com/us/en/plaid-overshirt-p00794432.html"/>
    <s v="316727555-700-2"/>
    <s v="PLAID OVERSHIRT"/>
    <s v="Regular fit overshirt. Lapel collar and long sleeves with buttoned cuffs. Front zip closure."/>
    <n v="69.900000000000006"/>
    <s v="USD"/>
    <s v="2024-02-19T08:51:36.352963"/>
    <s v="jackets"/>
    <x v="0"/>
    <x v="1"/>
  </r>
  <r>
    <n v="152871"/>
    <s v="End-cap"/>
    <s v="No"/>
    <s v="Clothing"/>
    <s v="Yes"/>
    <n v="1847"/>
    <s v="Zara"/>
    <s v="https://www.zara.com/us/en/textured-pocket-overshirt-p01934436.html"/>
    <s v="312571093-710-2"/>
    <s v="TEXTURED POCKET OVERSHIRT"/>
    <s v="Overshirt made of diagonal textured cotton fabric. Lapel collar and long sleeves with buttoned cuffs. Patch pockets at hip. Front button closure."/>
    <n v="69.900000000000006"/>
    <s v="USD"/>
    <s v="2024-02-19T08:51:36.786369"/>
    <s v="jackets"/>
    <x v="0"/>
    <x v="1"/>
  </r>
  <r>
    <n v="126806"/>
    <s v="End-cap"/>
    <s v="Yes"/>
    <s v="Clothing"/>
    <s v="Yes"/>
    <n v="2404"/>
    <s v="Zara"/>
    <s v="https://www.zara.com/us/en/pocket-overshirt-p04466468.html"/>
    <s v="330290387-401-2"/>
    <s v="POCKET OVERSHIRT"/>
    <s v="Relaxed fit overshirt made of 25% wool fabric. Lapel collar and long sleeves with buttoned cuffs. Patch pocket at chest and side pockets at hip. Front button closure."/>
    <n v="109"/>
    <s v="USD"/>
    <s v="2024-02-19T08:51:37.296998"/>
    <s v="jackets"/>
    <x v="0"/>
    <x v="1"/>
  </r>
  <r>
    <n v="134104"/>
    <s v="End-cap"/>
    <s v="No"/>
    <s v="Clothing"/>
    <s v="Yes"/>
    <n v="1466"/>
    <s v="Zara"/>
    <s v="https://www.zara.com/us/en/overshirt-p00706623.html"/>
    <s v="313027279-800-2"/>
    <s v="OVERSHIRT"/>
    <s v="Relaxed fit overshirt made of stretch fabric. Lapel collar and long sleeves with buttoned cuffs. Chest patch pocket. Front button closure."/>
    <n v="59.9"/>
    <s v="USD"/>
    <s v="2024-02-19T08:51:37.741280"/>
    <s v="jackets"/>
    <x v="0"/>
    <x v="1"/>
  </r>
  <r>
    <n v="120266"/>
    <s v="Front of Store"/>
    <s v="No"/>
    <s v="Clothing"/>
    <s v="No"/>
    <n v="2328"/>
    <s v="Zara"/>
    <s v="https://www.zara.com/us/en/plaid-overshirt-p04266381.html"/>
    <s v="320671529-802-2"/>
    <s v="PLAID OVERSHIRT"/>
    <s v="Cropped overshirt. Lapel collar and long sleeves with buttoned cuffs. Chest patch pocket. Irregular trim. Front button closure."/>
    <n v="59.9"/>
    <s v="USD"/>
    <s v="2024-02-19T08:51:38.232540"/>
    <s v="jackets"/>
    <x v="0"/>
    <x v="1"/>
  </r>
  <r>
    <n v="173550"/>
    <s v="End-cap"/>
    <s v="No"/>
    <s v="Clothing"/>
    <s v="Yes"/>
    <n v="1431"/>
    <s v="Zara"/>
    <s v="https://www.zara.com/us/en/pocket-overshirt-p05070314.html"/>
    <s v="323646471-802-2"/>
    <s v="POCKET OVERSHIRT"/>
    <s v="Overshirt with lapel collar and long sleeves with buttoned cuffs. Chest patch pocket. Front button closure."/>
    <n v="59.9"/>
    <s v="USD"/>
    <s v="2024-02-19T08:51:38.734215"/>
    <s v="jackets"/>
    <x v="0"/>
    <x v="1"/>
  </r>
  <r>
    <n v="175927"/>
    <s v="End-cap"/>
    <s v="No"/>
    <s v="Clothing"/>
    <s v="Yes"/>
    <n v="1506"/>
    <s v="Zara"/>
    <s v="https://www.zara.com/us/en/zippered-wool-blend-overshirt-p05854401.html"/>
    <s v="312978838-611-2"/>
    <s v="ZIPPERED WOOL BLEND OVERSHIRT"/>
    <s v="Relaxed fit overshirt made of wool blend fabric. Lapel collar and long sleeves with buttoned cuffs. Welt pockets at hip. Front zip closure."/>
    <n v="109"/>
    <s v="USD"/>
    <s v="2024-02-19T08:51:39.179120"/>
    <s v="jackets"/>
    <x v="0"/>
    <x v="1"/>
  </r>
  <r>
    <n v="154278"/>
    <s v="End-cap"/>
    <s v="No"/>
    <s v="Clothing"/>
    <s v="Yes"/>
    <n v="2749"/>
    <s v="Zara"/>
    <s v="https://www.zara.com/us/en/geometric-jacquard-overshirt-p04196412.html"/>
    <s v="336446858-822-2"/>
    <s v="GEOMETRIC JACQUARD OVERSHIRT"/>
    <s v="Relaxed fit overshirt made with cotton fabric. Lapel collar and long sleeves with buttoned cuffs. Welt pockets at hip. Front button closure."/>
    <n v="89.9"/>
    <s v="USD"/>
    <s v="2024-02-19T08:51:39.644283"/>
    <s v="jackets"/>
    <x v="0"/>
    <x v="1"/>
  </r>
  <r>
    <n v="183537"/>
    <s v="Front of Store"/>
    <s v="Yes"/>
    <s v="Clothing"/>
    <s v="Yes"/>
    <n v="2434"/>
    <s v="Zara"/>
    <s v="https://www.zara.com/us/en/paint-print-overshirt-p05320305.html"/>
    <s v="281883711-071-2"/>
    <s v="PAINT PRINT OVERSHIRT"/>
    <s v="Relaxed fit overshirt. Lapel collar and long sleeves with snap button cuffs. Chest patch pockets. Side vents at hem. Front snap button closure."/>
    <n v="19.989999999999998"/>
    <s v="USD"/>
    <s v="2024-02-19T08:51:40.120546"/>
    <s v="jackets"/>
    <x v="0"/>
    <x v="0"/>
  </r>
  <r>
    <n v="150424"/>
    <s v="Front of Store"/>
    <s v="No"/>
    <s v="Clothing"/>
    <s v="Yes"/>
    <n v="2067"/>
    <s v="Zara"/>
    <s v="https://www.zara.com/us/en/padded-corduroy-overshirt-p01063400.html"/>
    <s v="313008692-514-2"/>
    <s v="PADDED CORDUROY OVERSHIRT"/>
    <s v="Overshirt with quilted interior. Lapel collar and long sleeves with buttoned cuffs. Flap patch pockets at chest and in-seam pockets at side hip. Front snap button closure."/>
    <n v="79.900000000000006"/>
    <s v="USD"/>
    <s v="2024-02-19T08:51:40.636181"/>
    <s v="jackets"/>
    <x v="0"/>
    <x v="1"/>
  </r>
  <r>
    <n v="183825"/>
    <s v="Aisle"/>
    <s v="Yes"/>
    <s v="Clothing"/>
    <s v="Yes"/>
    <n v="2989"/>
    <s v="Zara"/>
    <s v="https://www.zara.com/us/en/plaid-tie-dye-overshirt-p01063313.html"/>
    <s v="281593208-015-2"/>
    <s v="PLAID TIE DYE OVERSHIRT"/>
    <s v="Regular fit overshirt made of cotton. Lapel collar and long sleeves with buttoned cuffs. Chest patch pockets. Front button closure."/>
    <n v="19.989999999999998"/>
    <s v="USD"/>
    <s v="2024-02-19T08:51:41.127759"/>
    <s v="jackets"/>
    <x v="0"/>
    <x v="0"/>
  </r>
  <r>
    <n v="144012"/>
    <s v="Front of Store"/>
    <s v="Yes"/>
    <s v="Clothing"/>
    <s v="No"/>
    <n v="743"/>
    <s v="Zara"/>
    <s v="https://www.zara.com/us/en/overshirt-with-contrasting-topstitching-p06917325.html"/>
    <s v="314937772-710-2"/>
    <s v="OVERSHIRT WITH CONTRASTING TOPSTITCHING"/>
    <s v="Relaxed fit overshirt made with cotton fabric. Lapel collar and long sleeves with buttoned cuffs. Chest patch pocket. Contrasting topstitching all over the garment. Front button closure."/>
    <n v="59.9"/>
    <s v="USD"/>
    <s v="2024-02-19T08:51:41.683535"/>
    <s v="jackets"/>
    <x v="0"/>
    <x v="1"/>
  </r>
  <r>
    <n v="147051"/>
    <s v="Front of Store"/>
    <s v="No"/>
    <s v="Clothing"/>
    <s v="No"/>
    <n v="2325"/>
    <s v="Zara"/>
    <s v="https://www.zara.com/us/en/quilted-structured-overshirt-p09621370.html"/>
    <s v="320278659-251-2"/>
    <s v="QUILTED STRUCTURED OVERSHIRT"/>
    <s v="Regular fit overshirt with quilted interior. Lapel collar and long sleeves with buttoned cuffs. Patch pockets at chest and welt pockets at hip. Front button closure."/>
    <n v="109"/>
    <s v="USD"/>
    <s v="2024-02-19T08:51:42.158903"/>
    <s v="jackets"/>
    <x v="0"/>
    <x v="1"/>
  </r>
  <r>
    <n v="185800"/>
    <s v="End-cap"/>
    <s v="No"/>
    <s v="Clothing"/>
    <s v="Yes"/>
    <n v="1841"/>
    <s v="Zara"/>
    <s v="https://www.zara.com/us/en/technical-overshirt-p05320500.html"/>
    <s v="321993245-500-2"/>
    <s v="TECHNICAL OVERSHIRT"/>
    <s v="Regular fit overshirt with lightly padded interior. Lapel collar and long sleeves with buttoned cuffs. Flap pockets at hip. Front button closure."/>
    <n v="109"/>
    <s v="USD"/>
    <s v="2024-02-19T08:51:42.644399"/>
    <s v="jackets"/>
    <x v="0"/>
    <x v="1"/>
  </r>
  <r>
    <n v="197524"/>
    <s v="Aisle"/>
    <s v="Yes"/>
    <s v="Clothing"/>
    <s v="Yes"/>
    <n v="2231"/>
    <s v="Zara"/>
    <s v="https://www.zara.com/us/en/plaid-overshirt-p07446410.html"/>
    <s v="330590505-500-2"/>
    <s v="PLAID OVERSHIRT"/>
    <s v="Relaxed fit overshirt. Lapel collar and long sleeves with buttoned cuffs. Chest patch pocket. Front button closure."/>
    <n v="49.9"/>
    <s v="USD"/>
    <s v="2024-02-19T08:51:43.194626"/>
    <s v="jackets"/>
    <x v="0"/>
    <x v="2"/>
  </r>
  <r>
    <n v="148823"/>
    <s v="Aisle"/>
    <s v="No"/>
    <s v="Clothing"/>
    <s v="Yes"/>
    <n v="2211"/>
    <s v="Zara"/>
    <s v="https://www.zara.com/us/en/suede-fisherman-sandals-p12436320.html"/>
    <s v="320680326-107-39"/>
    <s v="SUEDE FISHERMAN SANDALS"/>
    <s v="Fisherman sandals. Made of leather with a suede finish. Crossed straps at front. Buckled ankle strap closure. Slightly chunky soles."/>
    <n v="89.9"/>
    <s v="USD"/>
    <s v="2024-02-19T09:00:28.426225"/>
    <s v="shoes"/>
    <x v="0"/>
    <x v="1"/>
  </r>
  <r>
    <n v="114550"/>
    <s v="End-cap"/>
    <s v="No"/>
    <s v="Clothing"/>
    <s v="No"/>
    <n v="2114"/>
    <s v="Zara"/>
    <s v="https://www.zara.com/us/en/zipper-multipiece-sneakers-p12319220.html"/>
    <s v="311292244-800-39"/>
    <s v="ZIPPER MULTIPIECE SNEAKERS"/>
    <s v="Running shoes. Upper in a combination of pieces and finishes. Front zip closure. Back pull tab for ease. Chunky soles with irregular design."/>
    <n v="69.900000000000006"/>
    <s v="USD"/>
    <s v="2024-02-19T09:00:29.045781"/>
    <s v="shoes"/>
    <x v="0"/>
    <x v="1"/>
  </r>
  <r>
    <n v="125398"/>
    <s v="Aisle"/>
    <s v="Yes"/>
    <s v="Clothing"/>
    <s v="Yes"/>
    <n v="1350"/>
    <s v="Zara"/>
    <s v="https://www.zara.com/us/en/suede-laceless-sneakers-p12221320.html"/>
    <s v="311307610-400-39"/>
    <s v="SUEDE LACELESS SNEAKERS"/>
    <s v="Slip on sneakers. Made of leather with a suede finish. Upper in a combination of pieces. Chunky sole."/>
    <n v="69.900000000000006"/>
    <s v="USD"/>
    <s v="2024-02-19T09:00:30.065752"/>
    <s v="shoes"/>
    <x v="0"/>
    <x v="1"/>
  </r>
  <r>
    <n v="123985"/>
    <s v="End-cap"/>
    <s v="No"/>
    <s v="Clothing"/>
    <s v="No"/>
    <n v="2240"/>
    <s v="Zara"/>
    <s v="https://www.zara.com/us/en/multicolor-sneakers-p12304320.html"/>
    <s v="311302877-203-39"/>
    <s v="MULTICOLOR SNEAKERS"/>
    <s v="Sneakers. Combination of colors and pieces at upper. Lacing with six pairs of eyelets. Chunky rubber sole with irregular design."/>
    <n v="69.900000000000006"/>
    <s v="USD"/>
    <s v="2024-02-19T09:00:30.885861"/>
    <s v="shoes"/>
    <x v="0"/>
    <x v="1"/>
  </r>
  <r>
    <n v="186638"/>
    <s v="End-cap"/>
    <s v="Yes"/>
    <s v="Clothing"/>
    <s v="No"/>
    <n v="1296"/>
    <s v="Zara"/>
    <s v="https://www.zara.com/us/en/retro-running-sneakers-p12350320.html"/>
    <s v="311302598-500-39"/>
    <s v="RETRO RUNNING SNEAKERS"/>
    <s v="Running shoes. Upper in a combination of pieces and materials. Lacing with seven pairs of eyelets. Chunky lug soles. Retro-inspired design."/>
    <n v="59.9"/>
    <s v="USD"/>
    <s v="2024-02-19T09:00:31.417902"/>
    <s v="shoes"/>
    <x v="0"/>
    <x v="1"/>
  </r>
  <r>
    <n v="167281"/>
    <s v="End-cap"/>
    <s v="Yes"/>
    <s v="Clothing"/>
    <s v="Yes"/>
    <n v="892"/>
    <s v="Zara"/>
    <s v="https://www.zara.com/us/en/suede-high-tops-p12120320.html"/>
    <s v="311297328-800-39"/>
    <s v="SUEDE HIGH-TOPS"/>
    <s v="High top sneakers. Upper in a combination of pieces and materials. Lacing with seven pairs of eyelets. Chunky tonal sole."/>
    <n v="59.9"/>
    <s v="USD"/>
    <s v="2024-02-19T09:00:32.028826"/>
    <s v="shoes"/>
    <x v="0"/>
    <x v="1"/>
  </r>
  <r>
    <n v="118578"/>
    <s v="End-cap"/>
    <s v="No"/>
    <s v="Clothing"/>
    <s v="Yes"/>
    <n v="1678"/>
    <s v="Zara"/>
    <s v="https://www.zara.com/us/en/suede-strap-sandals-p12707320.html"/>
    <s v="311302865-804-39"/>
    <s v="SUEDE STRAP SANDALS"/>
    <s v="Sandals. Made of leather with a suede finish. Two crossed wide straps at instep. Thick lightweight soles."/>
    <n v="49.9"/>
    <s v="USD"/>
    <s v="2024-02-19T09:00:32.665359"/>
    <s v="shoes"/>
    <x v="0"/>
    <x v="2"/>
  </r>
  <r>
    <n v="174041"/>
    <s v="End-cap"/>
    <s v="No"/>
    <s v="Clothing"/>
    <s v="No"/>
    <n v="2016"/>
    <s v="Zara"/>
    <s v="https://www.zara.com/us/en/multipiece-sneakers-p12215320.html"/>
    <s v="311307489-203-39"/>
    <s v="MULTIPIECE SNEAKERS"/>
    <s v="Sneakers. Upper in a combination of pieces and colors. Lacing with seven pairs of eyelets. Chunky sole with a combination of colors. Retro-inspired design."/>
    <n v="49.9"/>
    <s v="USD"/>
    <s v="2024-02-19T09:00:33.381812"/>
    <s v="shoes"/>
    <x v="0"/>
    <x v="2"/>
  </r>
  <r>
    <n v="127644"/>
    <s v="Front of Store"/>
    <s v="No"/>
    <s v="Clothing"/>
    <s v="Yes"/>
    <n v="1498"/>
    <s v="Zara"/>
    <s v="https://www.zara.com/us/en/topstitch-sneakers-p12240320.html"/>
    <s v="311287075-120-39"/>
    <s v="TOPSTITCH SNEAKERS"/>
    <s v="Sneakers. Pieces and topstitching at upper. Lacing with six pairs of eyelets. Contrasting slightly chunky soles."/>
    <n v="45.9"/>
    <s v="USD"/>
    <s v="2024-02-19T09:00:34.017423"/>
    <s v="shoes"/>
    <x v="0"/>
    <x v="2"/>
  </r>
  <r>
    <n v="132007"/>
    <s v="Aisle"/>
    <s v="No"/>
    <s v="Clothing"/>
    <s v="Yes"/>
    <n v="2491"/>
    <s v="Zara"/>
    <s v="https://www.zara.com/us/en/retro-sneakers-p12280220.html"/>
    <s v="276378605-515-39"/>
    <s v="RETRO SNEAKERS"/>
    <s v="Sneakers. Upper in a combination of pieces and materials. Lacing with seven pairs of eyelets. Quilted back piece. Chunky sole. Retro style."/>
    <n v="9.99"/>
    <s v="USD"/>
    <s v="2024-02-19T09:00:34.990048"/>
    <s v="shoes"/>
    <x v="0"/>
    <x v="0"/>
  </r>
  <r>
    <n v="147998"/>
    <s v="Aisle"/>
    <s v="No"/>
    <s v="Clothing"/>
    <s v="No"/>
    <n v="2556"/>
    <s v="Zara"/>
    <s v="https://www.zara.com/us/en/retro-high-top-sneakers-p12180220.html"/>
    <s v="277776476-700-39"/>
    <s v="RETRO HIGH TOP SNEAKERS"/>
    <s v="High-top sneakers. Upper in a combination of pieces. Laces with ten pairs of eyelets. Chunky sole."/>
    <n v="9.99"/>
    <s v="USD"/>
    <s v="2024-02-19T09:00:36.249339"/>
    <s v="shoes"/>
    <x v="0"/>
    <x v="0"/>
  </r>
  <r>
    <n v="176666"/>
    <s v="Aisle"/>
    <s v="Yes"/>
    <s v="Clothing"/>
    <s v="No"/>
    <n v="2852"/>
    <s v="Zara"/>
    <s v="https://www.zara.com/us/en/multi-pieced-retro-sneakers-p12220320.html"/>
    <s v="313381662-202-39"/>
    <s v="MULTI-PIECED RETRO SNEAKERS"/>
    <s v="Sneakers. Upper in a combination of pieces and colors. Lacing with six pairs of eyelets. Textured chunky soles. Retro style."/>
    <n v="45.9"/>
    <s v="USD"/>
    <s v="2024-02-19T09:00:37.077290"/>
    <s v="shoes"/>
    <x v="0"/>
    <x v="2"/>
  </r>
  <r>
    <n v="193686"/>
    <s v="Aisle"/>
    <s v="Yes"/>
    <s v="Clothing"/>
    <s v="No"/>
    <n v="1899"/>
    <s v="Zara"/>
    <s v="https://www.zara.com/us/en/tassel-leather-loafers-p12609320.html"/>
    <s v="311292343-700-39"/>
    <s v="TASSEL LEATHER LOAFERS"/>
    <s v="Loafers. Made of leather. Smooth upper with ruching at toe. Decorative fringed tassels at instep. Rounded shape. Welt around upper. Chunky lug soles."/>
    <n v="99.9"/>
    <s v="USD"/>
    <s v="2024-02-19T09:00:37.630307"/>
    <s v="shoes"/>
    <x v="0"/>
    <x v="1"/>
  </r>
  <r>
    <n v="163610"/>
    <s v="Front of Store"/>
    <s v="Yes"/>
    <s v="Clothing"/>
    <s v="No"/>
    <n v="2466"/>
    <s v="Zara"/>
    <s v="https://www.zara.com/us/en/moc-toe-suede-boots-p12015320.html"/>
    <s v="311309627-805-39"/>
    <s v="MOC-TOE SUEDE BOOTS"/>
    <s v="Suede leather boots. Ridged seam detail at upper. Lacing with two pairs of eyelets. Welt around upper. Slightly chunky sole."/>
    <n v="89.9"/>
    <s v="USD"/>
    <s v="2024-02-19T09:00:38.631330"/>
    <s v="shoes"/>
    <x v="0"/>
    <x v="1"/>
  </r>
  <r>
    <n v="170364"/>
    <s v="Aisle"/>
    <s v="No"/>
    <s v="Clothing"/>
    <s v="No"/>
    <n v="818"/>
    <s v="Zara"/>
    <s v="https://www.zara.com/us/en/strap-sandals-p12765320.html"/>
    <s v="315851805-800-39"/>
    <s v="STRAP SANDALS"/>
    <s v="Sandals with two straps. The thin straps hug the instep. Slightly chunky sole."/>
    <n v="45.9"/>
    <s v="USD"/>
    <s v="2024-02-19T09:00:39.391693"/>
    <s v="shoes"/>
    <x v="0"/>
    <x v="2"/>
  </r>
  <r>
    <n v="167599"/>
    <s v="Aisle"/>
    <s v="No"/>
    <s v="Clothing"/>
    <s v="No"/>
    <n v="1500"/>
    <s v="Zara"/>
    <s v="https://www.zara.com/us/en/suede-retro-sneakers-p12309320.html"/>
    <s v="311292644-400-39"/>
    <s v="SUEDE RETRO SNEAKERS"/>
    <s v="Sneakers. Made of leather. Combination of finishes and materials at upper. Lacing with seven pairs of eyelets. Chunky sole in a combination of colors. Retro-inspired design."/>
    <n v="59.9"/>
    <s v="USD"/>
    <s v="2024-02-19T09:00:40.449320"/>
    <s v="shoes"/>
    <x v="0"/>
    <x v="1"/>
  </r>
  <r>
    <n v="166421"/>
    <s v="End-cap"/>
    <s v="Yes"/>
    <s v="Clothing"/>
    <s v="No"/>
    <n v="2878"/>
    <s v="Zara"/>
    <s v="https://www.zara.com/us/en/hiking-boots-p12103320.html"/>
    <s v="311302552-800-39"/>
    <s v="HIKING BOOTS"/>
    <s v="Lace-up boots. Upper in a combination of pieces and finishes. Laces with metal appliquÃ©s and seven pairs of eyelets. Welt detail around upper. Rounded shape. Chunky lug soles."/>
    <n v="79.900000000000006"/>
    <s v="USD"/>
    <s v="2024-02-19T09:00:41.705006"/>
    <s v="shoes"/>
    <x v="0"/>
    <x v="1"/>
  </r>
  <r>
    <n v="129247"/>
    <s v="Front of Store"/>
    <s v="Yes"/>
    <s v="Clothing"/>
    <s v="No"/>
    <n v="2386"/>
    <s v="Zara"/>
    <s v="https://www.zara.com/us/en/suede-sneakers-p12502320.html"/>
    <s v="311302532-102-39"/>
    <s v="SUEDE SNEAKERS"/>
    <s v="Sneakers. Made of leather with a suede finish. Laces with five pairs of eyelets. Chunky soles."/>
    <n v="69.900000000000006"/>
    <s v="USD"/>
    <s v="2024-02-19T09:00:42.376148"/>
    <s v="shoes"/>
    <x v="0"/>
    <x v="1"/>
  </r>
  <r>
    <n v="127314"/>
    <s v="End-cap"/>
    <s v="Yes"/>
    <s v="Clothing"/>
    <s v="Yes"/>
    <n v="2076"/>
    <s v="Zara"/>
    <s v="https://www.zara.com/us/en/faux-shearling-lined-suede-boots-p12050320.html"/>
    <s v="311287147-723-39"/>
    <s v="FAUX SHEARLING LINED SUEDE BOOTS"/>
    <s v="Ankle boots. Made of leather with a suede finish. Faux shearling interior and side detail. Rounded shape. Welt around upper. Back pull tab. Chunky lug soles."/>
    <n v="99.9"/>
    <s v="USD"/>
    <s v="2024-02-19T09:00:43.146819"/>
    <s v="shoes"/>
    <x v="0"/>
    <x v="1"/>
  </r>
  <r>
    <n v="111979"/>
    <s v="Front of Store"/>
    <s v="No"/>
    <s v="Clothing"/>
    <s v="No"/>
    <n v="2734"/>
    <s v="Zara"/>
    <s v="https://www.zara.com/us/en/chunky-sole-multipiece-sneakers-p12266220.html"/>
    <s v="311307332-202-39"/>
    <s v="CHUNKY SNEAKERS"/>
    <s v="Sneakers. Upper in a combination of pieces and textures. Shoelaces with six pairs of eyelets at different heights. Chunky irregular design soles. Retro-inspired design."/>
    <n v="59.9"/>
    <s v="USD"/>
    <s v="2024-02-19T09:00:43.580910"/>
    <s v="shoes"/>
    <x v="0"/>
    <x v="1"/>
  </r>
  <r>
    <n v="120354"/>
    <s v="Aisle"/>
    <s v="Yes"/>
    <s v="Clothing"/>
    <s v="No"/>
    <n v="2836"/>
    <s v="Zara"/>
    <s v="https://www.zara.com/us/en/double-strap-suede-sandals-p12716320.html"/>
    <s v="311282293-131-39"/>
    <s v="DOUBLE STRAP SUEDE SANDALS"/>
    <s v="Sandals. Made of leather with a suede finish. Two wide straps at instep with buckles. Insole with anatomical shaped footbed. Welt around upper. Chunky lug soles."/>
    <n v="59.9"/>
    <s v="USD"/>
    <s v="2024-02-19T09:00:44.494819"/>
    <s v="shoes"/>
    <x v="0"/>
    <x v="1"/>
  </r>
  <r>
    <n v="144848"/>
    <s v="Front of Store"/>
    <s v="No"/>
    <s v="Clothing"/>
    <s v="No"/>
    <n v="2193"/>
    <s v="Zara"/>
    <s v="https://www.zara.com/us/en/chunky-sole-canvas-lace-up-boots-p12005320.html"/>
    <s v="311287149-800-39"/>
    <s v="CHUNKY SOLE CANVAS LACE-UP BOOTS"/>
    <s v="High shaft boots. Lacing with eight pairs of eyelets. Back pull tab for ease. Rounded shape. Chunky lug soles."/>
    <n v="89.9"/>
    <s v="USD"/>
    <s v="2024-02-19T09:00:45.935135"/>
    <s v="shoes"/>
    <x v="0"/>
    <x v="1"/>
  </r>
  <r>
    <n v="111957"/>
    <s v="Aisle"/>
    <s v="Yes"/>
    <s v="Clothing"/>
    <s v="No"/>
    <n v="2164"/>
    <s v="Zara"/>
    <s v="https://www.zara.com/us/en/suede-penny-loafers-p12644320.html"/>
    <s v="311307624-500-39"/>
    <s v="SUEDE PENNY LOAFERS"/>
    <s v="Loafers. Made of leather with a suede finish. Ornamental saddle detail at instep. Rounded shape. Contrasting colored sole."/>
    <n v="89.9"/>
    <s v="USD"/>
    <s v="2024-02-19T09:00:46.629270"/>
    <s v="shoes"/>
    <x v="0"/>
    <x v="1"/>
  </r>
  <r>
    <n v="160763"/>
    <s v="Front of Store"/>
    <s v="Yes"/>
    <s v="Clothing"/>
    <s v="Yes"/>
    <n v="991"/>
    <s v="Zara"/>
    <s v="https://www.zara.com/us/en/adherent-stripes-sneakers-p12269320.html"/>
    <s v="311282212-800-39"/>
    <s v="ADHERENT STRIPES SNEAKERS"/>
    <s v="Sneakers. Monochromatic. Upper in a combination of pieces. Closure with three adhesive straps. Slightly chunky sole."/>
    <n v="45.9"/>
    <s v="USD"/>
    <s v="2024-02-19T09:00:47.161331"/>
    <s v="shoes"/>
    <x v="0"/>
    <x v="2"/>
  </r>
  <r>
    <n v="168270"/>
    <s v="End-cap"/>
    <s v="Yes"/>
    <s v="Clothing"/>
    <s v="Yes"/>
    <n v="1525"/>
    <s v="Zara"/>
    <s v="https://www.zara.com/us/en/multipiece-sneakers-p12318220.html"/>
    <s v="311292281-203-39"/>
    <s v="MULTIPIECE SNEAKERS"/>
    <s v="Running shoes. Upper in a combination of pieces and finishes. Lacing with six pairs of eyelets. Chunky soles with irregular design. Lug soles. Trek style."/>
    <n v="69.900000000000006"/>
    <s v="USD"/>
    <s v="2024-02-19T09:00:47.683414"/>
    <s v="shoes"/>
    <x v="0"/>
    <x v="1"/>
  </r>
  <r>
    <n v="195082"/>
    <s v="Front of Store"/>
    <s v="No"/>
    <s v="Clothing"/>
    <s v="No"/>
    <n v="923"/>
    <s v="Zara"/>
    <s v="https://www.zara.com/us/en/chunky-sole-high-top-sneakers-p12104320.html"/>
    <s v="311302515-800-39"/>
    <s v="CHUNKY SOLE HIGH TOP SNEAKERS"/>
    <s v="High top sneakers. Lacing with nine pairs of eyelets. Contrasting foxing around the upper. Chunky rubberized soles."/>
    <n v="69.900000000000006"/>
    <s v="USD"/>
    <s v="2024-02-19T09:00:48.234772"/>
    <s v="shoes"/>
    <x v="0"/>
    <x v="1"/>
  </r>
  <r>
    <n v="110329"/>
    <s v="Front of Store"/>
    <s v="No"/>
    <s v="Clothing"/>
    <s v="Yes"/>
    <n v="2397"/>
    <s v="Zara"/>
    <s v="https://www.zara.com/us/en/contrast-sole-leather-sneakers-p12510320.html"/>
    <s v="314937773-800-39"/>
    <s v="CONTRAST SOLE LEATHER SNEAKERS"/>
    <s v="Sneakers. Made of leather. Upper in a combination of pieces and finishes. Lacing with six pairs of eyelets. Rounded shape. Chunky sole."/>
    <n v="69.900000000000006"/>
    <s v="USD"/>
    <s v="2024-02-19T09:00:48.858592"/>
    <s v="shoes"/>
    <x v="0"/>
    <x v="1"/>
  </r>
  <r>
    <n v="147449"/>
    <s v="End-cap"/>
    <s v="No"/>
    <s v="Clothing"/>
    <s v="No"/>
    <n v="1191"/>
    <s v="Zara"/>
    <s v="https://www.zara.com/us/en/suede-running-sneakers-p12320320.html"/>
    <s v="316608794-802-39"/>
    <s v="SUEDE RUNNING SNEAKERS"/>
    <s v="Running shoes. Made of suede leather. Upper in a combination of materials and colors. Lacing with six pairs of eyelets. Chunky soles with irregular design."/>
    <n v="69.900000000000006"/>
    <s v="USD"/>
    <s v="2024-02-19T09:00:49.398791"/>
    <s v="shoes"/>
    <x v="0"/>
    <x v="1"/>
  </r>
  <r>
    <n v="193332"/>
    <s v="Aisle"/>
    <s v="Yes"/>
    <s v="Clothing"/>
    <s v="No"/>
    <n v="1237"/>
    <s v="Zara"/>
    <s v="https://www.zara.com/us/en/woven-leather-slides-p12708320.html"/>
    <s v="319205037-800-39"/>
    <s v="WOVEN LEATHER SLIDES"/>
    <s v="Sandals. Made of leather. Three woven wide straps at instep. Chunky sole."/>
    <n v="49.9"/>
    <s v="USD"/>
    <s v="2024-02-19T09:00:49.884546"/>
    <s v="shoes"/>
    <x v="0"/>
    <x v="2"/>
  </r>
  <r>
    <n v="146804"/>
    <s v="Aisle"/>
    <s v="Yes"/>
    <s v="Clothing"/>
    <s v="No"/>
    <n v="1504"/>
    <s v="Zara"/>
    <s v="https://www.zara.com/us/en/suede-sneakers-p12216320.html"/>
    <s v="311307495-131-39"/>
    <s v="SUEDE SNEAKERS"/>
    <s v="Sneakers. Made of leather with a suede finish. Contrast lacing with seven pairs of eyelets. Welt around upper. Chunky sole."/>
    <n v="69.900000000000006"/>
    <s v="USD"/>
    <s v="2024-02-19T09:00:51.510009"/>
    <s v="shoes"/>
    <x v="0"/>
    <x v="1"/>
  </r>
  <r>
    <n v="188909"/>
    <s v="Aisle"/>
    <s v="Yes"/>
    <s v="Clothing"/>
    <s v="Yes"/>
    <n v="2863"/>
    <s v="Zara"/>
    <s v="https://www.zara.com/us/en/asymmetric-cropped-knit-sweater-p06771149.html"/>
    <s v="336449731-712-1"/>
    <s v="ASYMMETRIC CROPPED KNIT SWEATER"/>
    <s v="Woven V-neckline long sleeve sweater. Asymmetric hem."/>
    <n v="39.9"/>
    <s v="USD"/>
    <s v="2024-02-19T09:10:31.877971"/>
    <s v="sweaters"/>
    <x v="1"/>
    <x v="2"/>
  </r>
  <r>
    <n v="165910"/>
    <s v="End-cap"/>
    <s v="Yes"/>
    <s v="Clothing"/>
    <s v="No"/>
    <n v="2760"/>
    <s v="Zara"/>
    <s v="https://www.zara.com/us/en/knit-sweater-with-pearls-p02142249.html"/>
    <s v="313890651-712-2"/>
    <s v="KNIT SWEATER WITH PEARLS"/>
    <s v="Sweater made with 22% wool and 10% alpaca. Round neck and long sleeves. Faux pearl appliquÃ©."/>
    <n v="69.900000000000006"/>
    <s v="USD"/>
    <s v="2024-02-19T09:10:32.534246"/>
    <s v="sweaters"/>
    <x v="1"/>
    <x v="1"/>
  </r>
  <r>
    <n v="136738"/>
    <s v="Front of Store"/>
    <s v="No"/>
    <s v="Clothing"/>
    <s v="Yes"/>
    <n v="542"/>
    <s v="Zara"/>
    <s v="https://www.zara.com/us/en/high-collar-knit-sweater-p01509118.html"/>
    <s v="287414911-803-2"/>
    <s v="HIGH COLLAR KNIT SWEATER"/>
    <s v="Sweater with high collar and long sleeves. Front pocket. Side vents at hem. Rib trim."/>
    <n v="7.99"/>
    <s v="USD"/>
    <s v="2024-02-19T09:10:33.128884"/>
    <s v="sweaters"/>
    <x v="1"/>
    <x v="0"/>
  </r>
  <r>
    <n v="144497"/>
    <s v="End-cap"/>
    <s v="Yes"/>
    <s v="Clothing"/>
    <s v="Yes"/>
    <n v="1105"/>
    <s v="Zara"/>
    <s v="https://www.zara.com/us/en/striped-knit-sweater-p06427115.html"/>
    <s v="342171615-104-2"/>
    <s v="STRIPED KNIT SWEATER"/>
    <s v="Sweater with high collar and long sleeves. Front zip closure."/>
    <n v="49.9"/>
    <s v="USD"/>
    <s v="2024-02-19T09:10:33.890995"/>
    <s v="sweaters"/>
    <x v="1"/>
    <x v="2"/>
  </r>
  <r>
    <n v="135036"/>
    <s v="End-cap"/>
    <s v="Yes"/>
    <s v="Clothing"/>
    <s v="No"/>
    <n v="1435"/>
    <s v="Zara"/>
    <s v="https://www.zara.com/us/en/cable-knit-metallic-sweater-p04369103.html"/>
    <s v="314152967-485-2"/>
    <s v="CABLE KNIT METALLIC SWEATER"/>
    <s v="Round neck long sleeve sweater. Metallic fabric detail and frayed trim."/>
    <n v="49.9"/>
    <s v="USD"/>
    <s v="2024-02-19T09:10:34.521463"/>
    <s v="sweaters"/>
    <x v="1"/>
    <x v="2"/>
  </r>
  <r>
    <n v="166331"/>
    <s v="Aisle"/>
    <s v="Yes"/>
    <s v="Clothing"/>
    <s v="Yes"/>
    <n v="2877"/>
    <s v="Zara"/>
    <s v="https://www.zara.com/us/en/asymmetrical-wool-and-silk-blend-sweater-p09598025.html"/>
    <s v="324186867-642-2"/>
    <s v="ASYMMETRICAL WOOL AND SILK BLEND SWEATER"/>
    <s v="Wool and silk blend sweater. Asymmetric neckline and long sleeves."/>
    <n v="59.9"/>
    <s v="USD"/>
    <s v="2024-02-19T09:10:35.068338"/>
    <s v="sweaters"/>
    <x v="1"/>
    <x v="1"/>
  </r>
  <r>
    <n v="139789"/>
    <s v="Aisle"/>
    <s v="No"/>
    <s v="Clothing"/>
    <s v="Yes"/>
    <n v="1094"/>
    <s v="Zara"/>
    <s v="https://www.zara.com/us/en/wool-and-cashmere-blend-rib-sweater-p02893054.html"/>
    <s v="316900618-809-2"/>
    <s v="WOOL AND CASHMERE BLEND RIB SWEATER"/>
    <s v="Sweater made with 80% wool and 20% cashmere. Round neck and long sleeves."/>
    <n v="69.900000000000006"/>
    <s v="USD"/>
    <s v="2024-02-19T09:10:35.641404"/>
    <s v="sweaters"/>
    <x v="1"/>
    <x v="1"/>
  </r>
  <r>
    <n v="118569"/>
    <s v="Aisle"/>
    <s v="No"/>
    <s v="Clothing"/>
    <s v="Yes"/>
    <n v="994"/>
    <s v="Zara"/>
    <s v="https://www.zara.com/us/en/alpaca-and-wool-blend-tie-dye-knit-sweater-p02142220.html"/>
    <s v="313890645-330-2"/>
    <s v="ALPACA AND WOOL BLEND TIE DYE KNIT SWEATER"/>
    <s v="Sweater made with 31% wool and 28% alpaca. Round neck and long sleeves."/>
    <n v="49.9"/>
    <s v="USD"/>
    <s v="2024-02-19T09:10:36.152051"/>
    <s v="sweaters"/>
    <x v="1"/>
    <x v="2"/>
  </r>
  <r>
    <n v="155848"/>
    <s v="End-cap"/>
    <s v="Yes"/>
    <s v="Clothing"/>
    <s v="No"/>
    <n v="1942"/>
    <s v="Zara"/>
    <s v="https://www.zara.com/us/en/mock-neck-wool-and-silk-blend-knit-top-p09598125.html"/>
    <s v="324597432-800-2"/>
    <s v="MOCK NECK WOOL AND SILK BLEND KNIT TOP"/>
    <s v="Wool and silk blend top. High collar and long sleeves."/>
    <n v="49.9"/>
    <s v="USD"/>
    <s v="2024-02-19T09:10:36.839166"/>
    <s v="sweaters"/>
    <x v="1"/>
    <x v="2"/>
  </r>
  <r>
    <n v="152563"/>
    <s v="Front of Store"/>
    <s v="No"/>
    <s v="Clothing"/>
    <s v="Yes"/>
    <n v="2572"/>
    <s v="Zara"/>
    <s v="https://www.zara.com/us/en/cashmere-blend-knit-sweater-p02893169.html"/>
    <s v="313890686-731-2"/>
    <s v="CASHMERE BLEND KNIT SWEATER"/>
    <s v="Sweater made with 95% cashmere. V-neck and long sleeves. Rib trim."/>
    <n v="169"/>
    <s v="USD"/>
    <s v="2024-02-19T09:10:37.484871"/>
    <s v="sweaters"/>
    <x v="1"/>
    <x v="1"/>
  </r>
  <r>
    <n v="115153"/>
    <s v="Aisle"/>
    <s v="No"/>
    <s v="Clothing"/>
    <s v="No"/>
    <n v="1736"/>
    <s v="Zara"/>
    <s v="https://www.zara.com/us/en/alpaca-blend-open-knit-sweater-p05755132.html"/>
    <s v="313890650-712-2"/>
    <s v="ALPACA BLEND OPEN KNIT SWEATER"/>
    <s v="Sweater made with 63% alpaca. Round neck and long sleeves."/>
    <n v="79.900000000000006"/>
    <s v="USD"/>
    <s v="2024-02-19T09:10:38.362632"/>
    <s v="sweaters"/>
    <x v="1"/>
    <x v="1"/>
  </r>
  <r>
    <n v="125938"/>
    <s v="Aisle"/>
    <s v="Yes"/>
    <s v="Clothing"/>
    <s v="Yes"/>
    <n v="1204"/>
    <s v="Zara"/>
    <s v="https://www.zara.com/us/en/oversized-knit-sweater-p09598288.html"/>
    <s v="313890680-450-2"/>
    <s v="OVERSIZED KNIT SWEATER"/>
    <s v="Sweater made with 20% wool and 17% alpaca. Crew neck and long sleeves. Tonal rib trim."/>
    <n v="49.9"/>
    <s v="USD"/>
    <s v="2024-02-19T09:10:38.884024"/>
    <s v="sweaters"/>
    <x v="1"/>
    <x v="2"/>
  </r>
  <r>
    <n v="122809"/>
    <s v="End-cap"/>
    <s v="No"/>
    <s v="Clothing"/>
    <s v="Yes"/>
    <n v="1592"/>
    <s v="Zara"/>
    <s v="https://www.zara.com/us/en/wool-blend-knit-sweater-p02893159.html"/>
    <s v="344575855-982-2"/>
    <s v="WOOL BLEND KNIT SWEATER"/>
    <s v="Sweater made with 31% wool. Round neck and long sleeves. Rib trim."/>
    <n v="49.9"/>
    <s v="USD"/>
    <s v="2024-02-19T09:10:39.415761"/>
    <s v="sweaters"/>
    <x v="1"/>
    <x v="2"/>
  </r>
  <r>
    <n v="181502"/>
    <s v="Front of Store"/>
    <s v="Yes"/>
    <s v="Clothing"/>
    <s v="No"/>
    <n v="2591"/>
    <s v="Zara"/>
    <s v="https://www.zara.com/us/en/soft-jewel-sweater-p02298153.html"/>
    <s v="323175653-803-2"/>
    <s v="SOFT JEWEL SWEATER"/>
    <s v="Sweater made of soft touch fabric. Round neckline with jewel appliquÃ©s and long sleeves."/>
    <n v="39.9"/>
    <s v="USD"/>
    <s v="2024-02-19T09:10:39.911179"/>
    <s v="sweaters"/>
    <x v="1"/>
    <x v="2"/>
  </r>
  <r>
    <n v="182779"/>
    <s v="End-cap"/>
    <s v="Yes"/>
    <s v="Clothing"/>
    <s v="Yes"/>
    <n v="2097"/>
    <s v="Zara"/>
    <s v="https://www.zara.com/us/en/faux-fur-jewel-sweater-p07901339.html"/>
    <s v="324814227-400-2"/>
    <s v="FAUX FUR JEWEL SWEATER"/>
    <s v="Round neck short sleeve sweater. Soft feel faux fur fabric. Jewel appliquÃ©s."/>
    <n v="35.9"/>
    <s v="USD"/>
    <s v="2024-02-19T09:10:40.681401"/>
    <s v="sweaters"/>
    <x v="1"/>
    <x v="2"/>
  </r>
  <r>
    <n v="155674"/>
    <s v="Front of Store"/>
    <s v="No"/>
    <s v="Clothing"/>
    <s v="No"/>
    <n v="897"/>
    <s v="Zara"/>
    <s v="https://www.zara.com/us/en/metal-bead-knit-sweater-p03920018.html"/>
    <s v="323218942-800-2"/>
    <s v="METAL BEAD KNIT SWEATER"/>
    <s v="Round neck long sleeve sweater. Side slit at hem with metal bead appliquÃ©s."/>
    <n v="49.9"/>
    <s v="USD"/>
    <s v="2024-02-19T09:10:41.519426"/>
    <s v="sweaters"/>
    <x v="1"/>
    <x v="2"/>
  </r>
  <r>
    <n v="182866"/>
    <s v="Aisle"/>
    <s v="No"/>
    <s v="Clothing"/>
    <s v="Yes"/>
    <n v="1552"/>
    <s v="Zara"/>
    <s v="https://www.zara.com/us/en/knit-sweater-with-buttons-p08851131.html"/>
    <s v="313890656-800-2"/>
    <s v="KNIT SWEATER WITH BUTTONS"/>
    <s v="Basic sweater with round neck and long sleeves. Side button details at shoulders."/>
    <n v="39.9"/>
    <s v="USD"/>
    <s v="2024-02-19T09:10:42.016223"/>
    <s v="sweaters"/>
    <x v="1"/>
    <x v="2"/>
  </r>
  <r>
    <n v="148230"/>
    <s v="Front of Store"/>
    <s v="Yes"/>
    <s v="Clothing"/>
    <s v="No"/>
    <n v="2494"/>
    <s v="Zara"/>
    <s v="https://www.zara.com/us/en/jewel-knit-sweater-p05755005.html"/>
    <s v="321480271-802-2"/>
    <s v="JEWEL KNIT SWEATER"/>
    <s v="Round neck sweater with jewel appliquÃ©s and long sleeves. Back opening with button closure."/>
    <n v="59.9"/>
    <s v="USD"/>
    <s v="2024-02-19T09:10:42.593244"/>
    <s v="sweaters"/>
    <x v="1"/>
    <x v="1"/>
  </r>
  <r>
    <n v="126979"/>
    <s v="Front of Store"/>
    <s v="No"/>
    <s v="Clothing"/>
    <s v="No"/>
    <n v="2141"/>
    <s v="Zara"/>
    <s v="https://www.zara.com/us/en/knit-sweater-with-piping-p05536151.html"/>
    <s v="311297787-806-1"/>
    <s v="KNIT SWEATER WITH PIPING"/>
    <s v="Round neck long sleeve sweater. Contrasting piping detail. Rib trim."/>
    <n v="49.9"/>
    <s v="USD"/>
    <s v="2024-02-19T09:10:43.379668"/>
    <s v="sweaters"/>
    <x v="1"/>
    <x v="2"/>
  </r>
  <r>
    <n v="135521"/>
    <s v="End-cap"/>
    <s v="No"/>
    <s v="Clothing"/>
    <s v="Yes"/>
    <n v="2835"/>
    <s v="Zara"/>
    <s v="https://www.zara.com/us/en/fine-knit-crop-sweater-p09598029.html"/>
    <s v="322677494-446-1"/>
    <s v="FINE KNIT CROP SWEATER"/>
    <s v="Cropped fine knit sweater with round neck and long sleeves."/>
    <n v="39.9"/>
    <s v="USD"/>
    <s v="2024-02-19T09:10:43.883037"/>
    <s v="sweaters"/>
    <x v="1"/>
    <x v="2"/>
  </r>
  <r>
    <n v="185809"/>
    <s v="End-cap"/>
    <s v="No"/>
    <s v="Clothing"/>
    <s v="No"/>
    <n v="622"/>
    <s v="Zara"/>
    <s v="https://www.zara.com/us/en/knit-sweater-with-rips-p00021110.html"/>
    <s v="313890688-330-1"/>
    <s v="KNIT SWEATER WITH RIPS"/>
    <s v="Round neck long sleeve sweater. Openwork detail with rips."/>
    <n v="49.9"/>
    <s v="USD"/>
    <s v="2024-02-19T09:10:44.463883"/>
    <s v="sweaters"/>
    <x v="1"/>
    <x v="2"/>
  </r>
  <r>
    <n v="171520"/>
    <s v="End-cap"/>
    <s v="Yes"/>
    <s v="Clothing"/>
    <s v="Yes"/>
    <n v="2901"/>
    <s v="Zara"/>
    <s v="https://www.zara.com/us/en/gathered-waist-knit-sweater-p05536012.html"/>
    <s v="322451460-800-1"/>
    <s v="GATHERED WAIST KNIT SWEATER"/>
    <s v="Round neck long sleeve sweater. Fitted waist with side ruching."/>
    <n v="47.9"/>
    <s v="USD"/>
    <s v="2024-02-19T09:10:45.009106"/>
    <s v="sweaters"/>
    <x v="1"/>
    <x v="2"/>
  </r>
  <r>
    <n v="122926"/>
    <s v="End-cap"/>
    <s v="No"/>
    <s v="Clothing"/>
    <s v="No"/>
    <n v="867"/>
    <s v="Zara"/>
    <s v="https://www.zara.com/us/en/knit-v-neck-sweater-p06771003.html"/>
    <s v="319465261-800-2"/>
    <s v="KNIT V-NECK SWEATER"/>
    <s v="V-neck sweater with long sleeves. Rib trim."/>
    <n v="45.9"/>
    <s v="USD"/>
    <s v="2024-02-19T09:10:45.631804"/>
    <s v="sweaters"/>
    <x v="1"/>
    <x v="2"/>
  </r>
  <r>
    <n v="150953"/>
    <s v="Front of Store"/>
    <s v="Yes"/>
    <s v="Clothing"/>
    <s v="Yes"/>
    <n v="2434"/>
    <s v="Zara"/>
    <s v="https://www.zara.com/us/en/basic-foil-knit-sweater-p00506101.html"/>
    <s v="317331009-312-2"/>
    <s v="BASIC FOIL KNIT SWEATER"/>
    <s v="Round neck long sleeve sweater. Rib trim."/>
    <n v="35.9"/>
    <s v="USD"/>
    <s v="2024-02-19T09:10:46.121269"/>
    <s v="sweaters"/>
    <x v="1"/>
    <x v="2"/>
  </r>
  <r>
    <n v="115873"/>
    <s v="End-cap"/>
    <s v="Yes"/>
    <s v="Clothing"/>
    <s v="Yes"/>
    <n v="2606"/>
    <s v="Zara"/>
    <s v="https://www.zara.com/us/en/contrast-topstitching-crop-knit-sweater-p09598003.html"/>
    <s v="311297400-803-1"/>
    <s v="CONTRAST TOPSTITCHING CROP KNIT SWEATER"/>
    <s v="V-neck cropped sweater with long sleeves. Front patch pockets. Contrast topstitching."/>
    <n v="59.9"/>
    <s v="USD"/>
    <s v="2024-02-19T09:10:46.622912"/>
    <s v="sweaters"/>
    <x v="1"/>
    <x v="1"/>
  </r>
  <r>
    <n v="115581"/>
    <s v="Aisle"/>
    <s v="No"/>
    <s v="Clothing"/>
    <s v="Yes"/>
    <n v="2728"/>
    <s v="Zara"/>
    <s v="https://www.zara.com/us/en/striped-crop-knit-sweater-p06771158.html"/>
    <s v="336449779-104-1"/>
    <s v="STRIPED CROP KNIT SWEATER"/>
    <s v="Long sleeve high collar cropped sweater. Frayed hem."/>
    <n v="47.9"/>
    <s v="USD"/>
    <s v="2024-02-19T09:10:47.341785"/>
    <s v="sweaters"/>
    <x v="1"/>
    <x v="2"/>
  </r>
  <r>
    <n v="183634"/>
    <s v="Front of Store"/>
    <s v="Yes"/>
    <s v="Clothing"/>
    <s v="Yes"/>
    <n v="2778"/>
    <s v="Zara"/>
    <s v="https://www.zara.com/us/en/basic-knit-sweater-p01509115.html"/>
    <s v="324593343-043-2"/>
    <s v="BASIC KNIT SWEATER"/>
    <s v="Long sleeve round neck sweater. Side vents at hem. Rib trim."/>
    <n v="27.9"/>
    <s v="USD"/>
    <s v="2024-02-19T09:10:48.087091"/>
    <s v="sweaters"/>
    <x v="1"/>
    <x v="2"/>
  </r>
  <r>
    <n v="122484"/>
    <s v="Aisle"/>
    <s v="Yes"/>
    <s v="Clothing"/>
    <s v="Yes"/>
    <n v="558"/>
    <s v="Zara"/>
    <s v="https://www.zara.com/us/en/v-neck-knit-sweater-p03519001.html"/>
    <s v="319473750-809-1"/>
    <s v="V-NECK KNIT SWEATER"/>
    <s v="V-neck sweater with long sleeves. Side vents at hem."/>
    <n v="47.9"/>
    <s v="USD"/>
    <s v="2024-02-19T09:10:48.719383"/>
    <s v="sweaters"/>
    <x v="1"/>
    <x v="2"/>
  </r>
  <r>
    <n v="183574"/>
    <s v="Aisle"/>
    <s v="Yes"/>
    <s v="Clothing"/>
    <s v="Yes"/>
    <n v="1752"/>
    <s v="Zara"/>
    <s v="https://www.zara.com/us/en/foil-knit-crop-sweater-p06771001.html"/>
    <s v="331789902-808-1"/>
    <s v="FOIL KNIT CROP SWEATER"/>
    <s v="Ribbed sweater with round neck and long sleeves. Ripped hem."/>
    <n v="47.9"/>
    <s v="USD"/>
    <s v="2024-02-19T09:10:49.285266"/>
    <s v="sweaters"/>
    <x v="1"/>
    <x v="2"/>
  </r>
  <r>
    <n v="185307"/>
    <s v="Front of Store"/>
    <s v="No"/>
    <s v="Clothing"/>
    <s v="Yes"/>
    <n v="2743"/>
    <s v="Zara"/>
    <s v="https://www.zara.com/us/en/basic-100-wool-sweater-p02893106.html"/>
    <s v="300250126-401-2"/>
    <s v="BASIC 100% WOOL SWEATER"/>
    <s v="Sweater made of 100% wool. Round neck and long sleeves. Ribbed trim."/>
    <n v="7.99"/>
    <s v="USD"/>
    <s v="2024-02-19T09:10:49.913569"/>
    <s v="sweaters"/>
    <x v="1"/>
    <x v="0"/>
  </r>
  <r>
    <n v="118719"/>
    <s v="End-cap"/>
    <s v="No"/>
    <s v="Clothing"/>
    <s v="Yes"/>
    <n v="1669"/>
    <s v="Zara"/>
    <s v="https://www.zara.com/us/en/colorblock-knit-crop-sweater-p05536008.html"/>
    <s v="320052978-401-2"/>
    <s v="COLORBLOCK KNIT CROP SWEATER"/>
    <s v="Short sweater with round neck and long sleeves."/>
    <n v="45.9"/>
    <s v="USD"/>
    <s v="2024-02-19T09:10:50.612150"/>
    <s v="sweaters"/>
    <x v="1"/>
    <x v="2"/>
  </r>
  <r>
    <n v="134788"/>
    <s v="Front of Store"/>
    <s v="No"/>
    <s v="Clothing"/>
    <s v="No"/>
    <n v="2179"/>
    <s v="Zara"/>
    <s v="https://www.zara.com/us/en/fine-knit-sweater-p09598045.html"/>
    <s v="324722597-400-2"/>
    <s v="FINE KNIT SWEATER"/>
    <s v="V-neck sweater with long sleeves."/>
    <n v="45.9"/>
    <s v="USD"/>
    <s v="2024-02-19T09:10:51.189028"/>
    <s v="sweaters"/>
    <x v="1"/>
    <x v="2"/>
  </r>
  <r>
    <n v="140142"/>
    <s v="Front of Store"/>
    <s v="Yes"/>
    <s v="Clothing"/>
    <s v="No"/>
    <n v="606"/>
    <s v="Zara"/>
    <s v="https://www.zara.com/us/en/knit-open-back-pearly-sweater-p04331152.html"/>
    <s v="328207551-500-2"/>
    <s v="KNIT OPEN BACK PEARLY SWEATER"/>
    <s v="High collar sweater with long sleeves. Open back detail and pearl appliquÃ©s. Back button closure."/>
    <n v="49.9"/>
    <s v="USD"/>
    <s v="2024-02-19T09:10:51.785857"/>
    <s v="sweaters"/>
    <x v="1"/>
    <x v="2"/>
  </r>
  <r>
    <n v="153997"/>
    <s v="End-cap"/>
    <s v="No"/>
    <s v="Clothing"/>
    <s v="Yes"/>
    <n v="1608"/>
    <s v="Zara"/>
    <s v="https://www.zara.com/us/en/knit-pearl-sweater-p04331165.html"/>
    <s v="318131967-800-2"/>
    <s v="KNIT PEARL SWEATER"/>
    <s v="Round neck long sleeve sweater. Tonal pearl appliquÃ©s and open back with tie."/>
    <n v="45.9"/>
    <s v="USD"/>
    <s v="2024-02-19T09:10:52.485772"/>
    <s v="sweaters"/>
    <x v="1"/>
    <x v="2"/>
  </r>
  <r>
    <n v="123230"/>
    <s v="Aisle"/>
    <s v="No"/>
    <s v="Clothing"/>
    <s v="Yes"/>
    <n v="880"/>
    <s v="Zara"/>
    <s v="https://www.zara.com/us/en/striped-textured-overshirt-p04179056.html"/>
    <s v="324027512-064-2"/>
    <s v="STRIPED TEXTURED OVERSHIRT"/>
    <s v="Relaxed fit overshirt. Lapel collar and long sleeves with buttoned cuffs. Patch pockets at hip. Front button closure."/>
    <n v="69.900000000000006"/>
    <s v="USD"/>
    <s v="2024-02-19T08:51:28.667099"/>
    <s v="jackets"/>
    <x v="0"/>
    <x v="1"/>
  </r>
  <r>
    <n v="154676"/>
    <s v="Aisle"/>
    <s v="No"/>
    <s v="Clothing"/>
    <s v="No"/>
    <n v="943"/>
    <s v="Zara"/>
    <s v="https://www.zara.com/us/en/fleece-overshirt-p01248320.html"/>
    <s v="311292623-712-97"/>
    <s v="FLEECE OVERSHIRT"/>
    <s v="Regular fit overshirt. Lapel collar and long sleeves with buttoned cuffs. Chest patch pockets. Front button closure."/>
    <n v="69.900000000000006"/>
    <s v="USD"/>
    <s v="2024-02-19T08:51:29.090402"/>
    <s v="jackets"/>
    <x v="0"/>
    <x v="1"/>
  </r>
  <r>
    <n v="152985"/>
    <s v="Aisle"/>
    <s v="Yes"/>
    <s v="Clothing"/>
    <s v="Yes"/>
    <n v="1049"/>
    <s v="Zara"/>
    <s v="https://www.zara.com/us/en/plaid-overshirt-p04054659.html"/>
    <s v="319162032-064-2"/>
    <s v="PLAID OVERSHIRT"/>
    <s v="Relaxed fit overshirt. Lapel collar and long sleeves with buttoned cuffs. Chest patch pockets. Front button closure."/>
    <n v="89.9"/>
    <s v="USD"/>
    <s v="2024-02-19T08:51:29.625821"/>
    <s v="jackets"/>
    <x v="0"/>
    <x v="1"/>
  </r>
  <r>
    <n v="175584"/>
    <s v="Front of Store"/>
    <s v="No"/>
    <s v="Clothing"/>
    <s v="No"/>
    <n v="2084"/>
    <s v="Zara"/>
    <s v="https://www.zara.com/us/en/baggy-fit-jeans-limited-edition-p03991480.html"/>
    <s v="324908098-800-38"/>
    <s v="BAGGY FIT JEANS LIMITED EDITION"/>
    <s v="Baggy jeans. Five pockets. Washed effect. Front zip and button closure."/>
    <n v="69.900000000000006"/>
    <s v="USD"/>
    <s v="2024-02-19T08:54:37.718200"/>
    <s v="jeans"/>
    <x v="0"/>
    <x v="1"/>
  </r>
  <r>
    <n v="147491"/>
    <s v="End-cap"/>
    <s v="No"/>
    <s v="Clothing"/>
    <s v="No"/>
    <n v="1563"/>
    <s v="Zara"/>
    <s v="https://www.zara.com/us/en/baggy-belted-jeans-p04365401.html"/>
    <s v="326540983-802-36"/>
    <s v="BAGGY BELTED JEANS"/>
    <s v="Baggy jeans. Self belt at waist. Front pockets and back patch pockets. Washed effect. Front button closure."/>
    <n v="59.9"/>
    <s v="USD"/>
    <s v="2024-02-19T08:54:38.277368"/>
    <s v="jeans"/>
    <x v="0"/>
    <x v="1"/>
  </r>
  <r>
    <n v="198283"/>
    <s v="End-cap"/>
    <s v="Yes"/>
    <s v="Clothing"/>
    <s v="Yes"/>
    <n v="1558"/>
    <s v="Zara"/>
    <s v="https://www.zara.com/us/en/baggy-fit-jeans-p08062482.html"/>
    <s v="315836999-406-34"/>
    <s v="BAGGY FIT JEANS"/>
    <s v="Baggy fit jeans. Five pockets. Washed effect. Front zip and button closure."/>
    <n v="69.900000000000006"/>
    <s v="USD"/>
    <s v="2024-02-19T08:54:39.017964"/>
    <s v="jeans"/>
    <x v="0"/>
    <x v="1"/>
  </r>
  <r>
    <n v="141547"/>
    <s v="End-cap"/>
    <s v="No"/>
    <s v="Clothing"/>
    <s v="No"/>
    <n v="1426"/>
    <s v="Zara"/>
    <s v="https://www.zara.com/us/en/baggy-fit-jeans-p06688486.html"/>
    <s v="315738965-802-34"/>
    <s v="BAGGY FIT JEANS"/>
    <s v="Baggy fit jeans. Five pockets. Washed effect. Front zip and button closure."/>
    <n v="69.900000000000006"/>
    <s v="USD"/>
    <s v="2024-02-19T08:54:39.496146"/>
    <s v="jeans"/>
    <x v="0"/>
    <x v="1"/>
  </r>
  <r>
    <n v="156342"/>
    <s v="Front of Store"/>
    <s v="Yes"/>
    <s v="Clothing"/>
    <s v="Yes"/>
    <n v="1466"/>
    <s v="Zara"/>
    <s v="https://www.zara.com/us/en/flared-fit-cargo-jeans-p06688411.html"/>
    <s v="311287318-400-38"/>
    <s v="FLARED FIT CARGO JEANS"/>
    <s v="Flared jeans. Patch pockets with flaps at hip. Patch pocket appliquÃ©s at legs. Washed effect. Adjustable hem with zippers. Front zipper and crossover button closure."/>
    <n v="109"/>
    <s v="USD"/>
    <s v="2024-02-19T08:54:39.950692"/>
    <s v="jeans"/>
    <x v="0"/>
    <x v="1"/>
  </r>
  <r>
    <n v="186083"/>
    <s v="End-cap"/>
    <s v="No"/>
    <s v="Clothing"/>
    <s v="Yes"/>
    <n v="624"/>
    <s v="Zara"/>
    <s v="https://www.zara.com/us/en/pleated-wide-fit-jeans-p05862417.html"/>
    <s v="312393140-406-2"/>
    <s v="PLEATED WIDE FIT JEANS"/>
    <s v="Wide fit jeans. Adjustable interior elastic waistband with front pleats. Front pockets and back patch pockets. Washed effect. Front zip and button closure."/>
    <n v="49.9"/>
    <s v="USD"/>
    <s v="2024-02-19T08:54:40.548942"/>
    <s v="jeans"/>
    <x v="0"/>
    <x v="2"/>
  </r>
  <r>
    <n v="171776"/>
    <s v="Aisle"/>
    <s v="Yes"/>
    <s v="Clothing"/>
    <s v="No"/>
    <n v="1685"/>
    <s v="Zara"/>
    <s v="https://www.zara.com/us/en/denim-shirt-p06085371.html"/>
    <s v="275600408-400-2"/>
    <s v="DENIM SHIRT"/>
    <s v="Relaxed fit shirt made of denim fabric. Lapel collar and short sleeves. Chest patch pocket. Washed effect. Front button closure."/>
    <n v="12.99"/>
    <s v="USD"/>
    <s v="2024-02-19T08:54:41.113222"/>
    <s v="jeans"/>
    <x v="0"/>
    <x v="0"/>
  </r>
  <r>
    <n v="134429"/>
    <s v="Aisle"/>
    <s v="No"/>
    <s v="Clothing"/>
    <s v="No"/>
    <n v="2914"/>
    <s v="Zara"/>
    <s v="https://www.zara.com/us/en/ripped-straight-fit-jeans-p03991404.html"/>
    <s v="311303003-407-38"/>
    <s v="RIPPED STRAIGHT FIT JEANS"/>
    <s v="Straight fit jeans. Five pockets. Washed effect with rips at legs. Front button closure."/>
    <n v="69.900000000000006"/>
    <s v="USD"/>
    <s v="2024-02-19T08:54:41.651379"/>
    <s v="jeans"/>
    <x v="0"/>
    <x v="1"/>
  </r>
  <r>
    <n v="172816"/>
    <s v="Aisle"/>
    <s v="No"/>
    <s v="Clothing"/>
    <s v="Yes"/>
    <n v="1524"/>
    <s v="Zara"/>
    <s v="https://www.zara.com/us/en/textured-sweater-p02893403.html"/>
    <s v="311307250-710-3"/>
    <s v="TEXTURED SWEATER"/>
    <s v="Sweater made of 30% wool thread. Round neck and long sleeves. Rib trim."/>
    <n v="69.900000000000006"/>
    <s v="USD"/>
    <s v="2024-02-19T08:54:44.291927"/>
    <s v="sweaters"/>
    <x v="0"/>
    <x v="1"/>
  </r>
  <r>
    <n v="136272"/>
    <s v="End-cap"/>
    <s v="No"/>
    <s v="Clothing"/>
    <s v="Yes"/>
    <n v="2887"/>
    <s v="Zara"/>
    <s v="https://www.zara.com/us/en/purl-knit-sweater-p03332300.html"/>
    <s v="267195405-500-3"/>
    <s v="PURL KNIT SWEATER"/>
    <s v="High collar sweater with front zipper. Long sleeves. Rib trim."/>
    <n v="12.99"/>
    <s v="USD"/>
    <s v="2024-02-19T08:54:45.320958"/>
    <s v="sweaters"/>
    <x v="0"/>
    <x v="0"/>
  </r>
  <r>
    <n v="193227"/>
    <s v="End-cap"/>
    <s v="Yes"/>
    <s v="Clothing"/>
    <s v="Yes"/>
    <n v="1778"/>
    <s v="Zara"/>
    <s v="https://www.zara.com/us/en/braided-color-block-sweater-p03284412.html"/>
    <s v="317894313-707-3"/>
    <s v="BRAIDED COLOR BLOCK SWEATER"/>
    <s v="Round neck long sleeve full cut sweater. Rib trim."/>
    <n v="69.900000000000006"/>
    <s v="USD"/>
    <s v="2024-02-19T08:54:45.927706"/>
    <s v="sweaters"/>
    <x v="0"/>
    <x v="1"/>
  </r>
  <r>
    <n v="165786"/>
    <s v="End-cap"/>
    <s v="No"/>
    <s v="Clothing"/>
    <s v="Yes"/>
    <n v="1278"/>
    <s v="Zara"/>
    <s v="https://www.zara.com/us/en/contrast-interior-sweater-p04696400.html"/>
    <s v="315075917-803-2"/>
    <s v="CONTRAST INTERIOR SWEATER"/>
    <s v="Cotton blend sweater. Round neck and long sleeves. Contrast interior. Rib trim."/>
    <n v="59.9"/>
    <s v="USD"/>
    <s v="2024-02-19T08:54:46.542710"/>
    <s v="sweaters"/>
    <x v="0"/>
    <x v="1"/>
  </r>
  <r>
    <n v="174708"/>
    <s v="Front of Store"/>
    <s v="No"/>
    <s v="Clothing"/>
    <s v="Yes"/>
    <n v="529"/>
    <s v="Zara"/>
    <s v="https://www.zara.com/us/en/abstract-jacquard-sweater-p03284407.html"/>
    <s v="317889153-700-3"/>
    <s v="ABSTRACT JACQUARD SWEATER"/>
    <s v="Full cut cotton knit sweater. Round neck and long sleeves. Rib trim."/>
    <n v="59.9"/>
    <s v="USD"/>
    <s v="2024-02-19T08:54:47.065078"/>
    <s v="sweaters"/>
    <x v="0"/>
    <x v="1"/>
  </r>
  <r>
    <n v="142257"/>
    <s v="Aisle"/>
    <s v="Yes"/>
    <s v="Clothing"/>
    <s v="Yes"/>
    <n v="1180"/>
    <s v="Zara"/>
    <s v="https://www.zara.com/us/en/basic-slim-fit-t-shirt-p05584361.html"/>
    <s v="315241755-800-2"/>
    <s v="BASIC SLIM FIT T-SHIRT"/>
    <s v="Slim fit shirt. Round neck and short sleeves."/>
    <n v="19.899999999999999"/>
    <s v="USD"/>
    <s v="2024-02-19T08:56:26.127459"/>
    <s v="t-shirts"/>
    <x v="0"/>
    <x v="0"/>
  </r>
  <r>
    <n v="126146"/>
    <s v="Aisle"/>
    <s v="No"/>
    <s v="Clothing"/>
    <s v="No"/>
    <n v="2759"/>
    <s v="Zara"/>
    <s v="https://www.zara.com/us/en/cropped-washed-t-shirt-p03665403.html"/>
    <s v="320326523-707-2"/>
    <s v="CROPPED WASHED T-SHIRT"/>
    <s v="Cropped fit T-shirt with round neck and short sleeves. Contrasting front and back prints. Washed effect."/>
    <n v="39.9"/>
    <s v="USD"/>
    <s v="2024-02-19T08:56:26.653517"/>
    <s v="t-shirts"/>
    <x v="0"/>
    <x v="2"/>
  </r>
  <r>
    <n v="129134"/>
    <s v="Aisle"/>
    <s v="No"/>
    <s v="Clothing"/>
    <s v="Yes"/>
    <n v="1831"/>
    <s v="Zara"/>
    <s v="https://www.zara.com/us/en/basic-heavyweight-t-shirt-p01887450.html"/>
    <s v="316715458-250-2"/>
    <s v="BASIC HEAVYWEIGHT T-SHIRT"/>
    <s v="Roomy T-shirt made of dense cotton. Round neck and short sleeves."/>
    <n v="29.9"/>
    <s v="USD"/>
    <s v="2024-02-19T08:56:27.459508"/>
    <s v="t-shirts"/>
    <x v="0"/>
    <x v="2"/>
  </r>
  <r>
    <n v="129898"/>
    <s v="End-cap"/>
    <s v="No"/>
    <s v="Clothing"/>
    <s v="No"/>
    <n v="1866"/>
    <s v="Zara"/>
    <s v="https://www.zara.com/us/en/heart-print-t-shirt-p06224419.html"/>
    <s v="322677489-800-2"/>
    <s v="HEART PRINT T-SHIRT"/>
    <s v="Boxy fit T-shirt with round neck and short sleeves. Contrasting prints at shoulder and back."/>
    <n v="39.9"/>
    <s v="USD"/>
    <s v="2024-02-19T08:56:27.954174"/>
    <s v="t-shirts"/>
    <x v="0"/>
    <x v="2"/>
  </r>
  <r>
    <n v="189692"/>
    <s v="End-cap"/>
    <s v="Yes"/>
    <s v="Clothing"/>
    <s v="No"/>
    <n v="1553"/>
    <s v="Zara"/>
    <s v="https://www.zara.com/us/en/text-t-shirt-p00962458.html"/>
    <s v="330077856-251-2"/>
    <s v="TEXT T-SHIRT"/>
    <s v="Boxy fit T-shirt. Round neck and short sleeves. Velvet effect print with contrast text."/>
    <n v="39.9"/>
    <s v="USD"/>
    <s v="2024-02-19T08:56:28.447616"/>
    <s v="t-shirts"/>
    <x v="0"/>
    <x v="2"/>
  </r>
  <r>
    <n v="154846"/>
    <s v="End-cap"/>
    <s v="Yes"/>
    <s v="Clothing"/>
    <s v="No"/>
    <n v="917"/>
    <s v="Zara"/>
    <s v="https://www.zara.com/us/en/printed-cropped-fit-shirt-limited-edition-p06224490.html"/>
    <s v="328232452-898-2"/>
    <s v="PRINTED CROPPED FIT SHIRT LIMITED EDITION"/>
    <s v="Cropped shirt. Round neckline. Contrasting front print. Washed effect. Irregular trim."/>
    <n v="39.9"/>
    <s v="USD"/>
    <s v="2024-02-19T08:56:28.979960"/>
    <s v="t-shirts"/>
    <x v="0"/>
    <x v="2"/>
  </r>
  <r>
    <n v="122307"/>
    <s v="End-cap"/>
    <s v="No"/>
    <s v="Clothing"/>
    <s v="No"/>
    <n v="702"/>
    <s v="Zara"/>
    <s v="https://www.zara.com/us/en/ribbed-knit-t-shirt-p03332431.html"/>
    <s v="317230892-251-3"/>
    <s v="RIBBED KNIT T-SHIRT"/>
    <s v="Cotton knit tank top. Round neck with front button closure. Rib trim."/>
    <n v="49.9"/>
    <s v="USD"/>
    <s v="2024-02-19T08:56:29.503270"/>
    <s v="t-shirts"/>
    <x v="0"/>
    <x v="2"/>
  </r>
  <r>
    <n v="182099"/>
    <s v="Aisle"/>
    <s v="Yes"/>
    <s v="Clothing"/>
    <s v="No"/>
    <n v="1978"/>
    <s v="Zara"/>
    <s v="https://www.zara.com/us/en/oversize-fit-t-shirt-p04092405.html"/>
    <s v="330478123-712-2"/>
    <s v="OVERSIZE FIT T-SHIRT"/>
    <s v="Oversized T-shirt. Round neck and short sleeves."/>
    <n v="39.9"/>
    <s v="USD"/>
    <s v="2024-02-19T08:56:30.052250"/>
    <s v="t-shirts"/>
    <x v="0"/>
    <x v="2"/>
  </r>
  <r>
    <n v="159816"/>
    <s v="Front of Store"/>
    <s v="No"/>
    <s v="Clothing"/>
    <s v="Yes"/>
    <n v="1961"/>
    <s v="Zara"/>
    <s v="https://www.zara.com/us/en/basic-medium-weight-t-shirt-p01887470.html"/>
    <s v="318255748-250-2"/>
    <s v="BASIC MEDIUM WEIGHT T-SHIRT"/>
    <s v="Regular fit T-shirt. Round neck and short sleeves."/>
    <n v="27.9"/>
    <s v="USD"/>
    <s v="2024-02-19T08:56:30.594950"/>
    <s v="t-shirts"/>
    <x v="0"/>
    <x v="2"/>
  </r>
  <r>
    <n v="165326"/>
    <s v="Aisle"/>
    <s v="No"/>
    <s v="Clothing"/>
    <s v="No"/>
    <n v="1188"/>
    <s v="Zara"/>
    <s v="https://www.zara.com/us/en/structured-text-t-shirt-p00761434.html"/>
    <s v="319334069-712-2"/>
    <s v="STRUCTURED TEXT T-SHIRT"/>
    <s v="Full cut T-shirt made of mesh textured fabric. Contrast rib V-neckline and short sleeves. Front contrast printed text."/>
    <n v="45.9"/>
    <s v="USD"/>
    <s v="2024-02-19T08:56:31.128680"/>
    <s v="t-shirts"/>
    <x v="0"/>
    <x v="2"/>
  </r>
  <r>
    <n v="185154"/>
    <s v="Aisle"/>
    <s v="Yes"/>
    <s v="Clothing"/>
    <s v="No"/>
    <n v="996"/>
    <s v="Zara"/>
    <s v="https://www.zara.com/us/en/abstract-print-t-shirt-p06224403.html"/>
    <s v="311307261-712-2"/>
    <s v="ABSTRACT PRINT T-SHIRT"/>
    <s v="Full cut T-shirt with crew neck and short sleeves. Contrasting front and back prints. Washed effect."/>
    <n v="39.9"/>
    <s v="USD"/>
    <s v="2024-02-19T08:56:31.723585"/>
    <s v="t-shirts"/>
    <x v="0"/>
    <x v="2"/>
  </r>
  <r>
    <n v="141330"/>
    <s v="Aisle"/>
    <s v="No"/>
    <s v="Clothing"/>
    <s v="Yes"/>
    <n v="1915"/>
    <s v="Zara"/>
    <s v="https://www.zara.com/us/en/raised-text-t-shirt-limited-edition-p00977490.html"/>
    <s v="323216369-922-2"/>
    <s v="RAISED TEXT T-SHIRT LIMITED EDITION"/>
    <s v="Full cut T-shirt with round neck and short sleeves. Front tonal raised text. Washed effect."/>
    <n v="39.9"/>
    <s v="USD"/>
    <s v="2024-02-19T08:56:32.570492"/>
    <s v="t-shirts"/>
    <x v="0"/>
    <x v="2"/>
  </r>
  <r>
    <n v="158958"/>
    <s v="End-cap"/>
    <s v="No"/>
    <s v="Clothing"/>
    <s v="No"/>
    <n v="903"/>
    <s v="Zara"/>
    <s v="https://www.zara.com/us/en/ribbed-knit-t-shirt-p04805409.html"/>
    <s v="320111404-428-2"/>
    <s v="RIBBED KNIT T-SHIRT"/>
    <s v="Cropped fit knit shirt. Round neck and long sleeves. Washed effect."/>
    <n v="45.9"/>
    <s v="USD"/>
    <s v="2024-02-19T08:56:33.167445"/>
    <s v="t-shirts"/>
    <x v="0"/>
    <x v="2"/>
  </r>
  <r>
    <n v="155010"/>
    <s v="Aisle"/>
    <s v="Yes"/>
    <s v="Clothing"/>
    <s v="Yes"/>
    <n v="729"/>
    <s v="Zara"/>
    <s v="https://www.zara.com/us/en/semi-sheer-knit-shirt-limited-edition-p04805424.html"/>
    <s v="328232445-800-2"/>
    <s v="SEMI-SHEER KNIT SHIRT LIMITED EDITION"/>
    <s v="Slim fit shirt made of wrinkle effect fabric. Round neck and long sleeves."/>
    <n v="45.9"/>
    <s v="USD"/>
    <s v="2024-02-19T08:56:33.715892"/>
    <s v="t-shirts"/>
    <x v="0"/>
    <x v="2"/>
  </r>
  <r>
    <n v="135857"/>
    <s v="Aisle"/>
    <s v="No"/>
    <s v="Clothing"/>
    <s v="Yes"/>
    <n v="2045"/>
    <s v="Zara"/>
    <s v="https://www.zara.com/us/en/viscose-blend-knit-t-shirt-p00693401.html"/>
    <s v="311297550-251-2"/>
    <s v="VISCOSE BLEND KNIT T-SHIRT"/>
    <s v="Knit shirt in viscose blend fabric. Mock neck and short sleeves. Rib trim."/>
    <n v="45.9"/>
    <s v="USD"/>
    <s v="2024-02-19T08:56:34.269203"/>
    <s v="t-shirts"/>
    <x v="0"/>
    <x v="2"/>
  </r>
  <r>
    <n v="147690"/>
    <s v="Aisle"/>
    <s v="Yes"/>
    <s v="Clothing"/>
    <s v="No"/>
    <n v="881"/>
    <s v="Zara"/>
    <s v="https://www.zara.com/us/en/striped-jacquard-t-shirt-p05372400.html"/>
    <s v="322909502-819-2"/>
    <s v="STRIPED JACQUARD T-SHIRT"/>
    <s v="Relaxed fit T-shirt with round neck and short sleeves."/>
    <n v="39.9"/>
    <s v="USD"/>
    <s v="2024-02-19T08:56:34.766636"/>
    <s v="t-shirts"/>
    <x v="0"/>
    <x v="2"/>
  </r>
  <r>
    <n v="130321"/>
    <s v="End-cap"/>
    <s v="Yes"/>
    <s v="Clothing"/>
    <s v="No"/>
    <n v="2093"/>
    <s v="Zara"/>
    <s v="https://www.zara.com/us/en/abstract-print-knit-t-shirt-p04805401.html"/>
    <s v="320071210-802-2"/>
    <s v="ABSTRACT PRINT KNIT T-SHIRT"/>
    <s v="Cotton knit T-shirt. Round neck and short sleeves."/>
    <n v="39.9"/>
    <s v="USD"/>
    <s v="2024-02-19T08:56:35.255056"/>
    <s v="t-shirts"/>
    <x v="0"/>
    <x v="2"/>
  </r>
  <r>
    <n v="196752"/>
    <s v="End-cap"/>
    <s v="No"/>
    <s v="Clothing"/>
    <s v="No"/>
    <n v="2227"/>
    <s v="Zara"/>
    <s v="https://www.zara.com/us/en/structured-text-t-shirt-p00761435.html"/>
    <s v="319334070-401-2"/>
    <s v="STRUCTURED TEXT T-SHIRT"/>
    <s v="Full cut T-shirt made of mesh textured fabric. Contrast rib V-neckline and short sleeves. Front contrast printed text."/>
    <n v="45.9"/>
    <s v="USD"/>
    <s v="2024-02-19T08:56:35.985294"/>
    <s v="t-shirts"/>
    <x v="0"/>
    <x v="2"/>
  </r>
  <r>
    <n v="181011"/>
    <s v="Aisle"/>
    <s v="Yes"/>
    <s v="Clothing"/>
    <s v="Yes"/>
    <n v="994"/>
    <s v="Zara"/>
    <s v="https://www.zara.com/us/en/alpaca-blend-open-knit-sweater-p05755132.html"/>
    <s v="322612356-505-2"/>
    <s v="HERRINGBONE TEXTURED JACKET"/>
    <s v="RETRO SNEAKERS"/>
    <n v="89.9"/>
    <s v="USD"/>
    <s v="2024-02-19T09:10:31.877971"/>
    <s v="shoes"/>
    <x v="0"/>
    <x v="1"/>
  </r>
  <r>
    <n v="139967"/>
    <s v="End-cap"/>
    <s v="No"/>
    <s v="Clothing"/>
    <s v="No"/>
    <n v="2634"/>
    <s v="Zara"/>
    <s v="https://www.zara.com/us/en/oversized-knit-sweater-p09598288.html"/>
    <s v="311282631-712-2"/>
    <s v="OVERSIZED CROPPED JACKET LIMITED EDITION"/>
    <s v="V-neck sweater with long sleeves. Rib trim."/>
    <n v="69.900000000000006"/>
    <s v="USD"/>
    <s v="2024-02-19T09:10:32.534246"/>
    <s v="t-shirts"/>
    <x v="0"/>
    <x v="1"/>
  </r>
  <r>
    <n v="162699"/>
    <s v="End-cap"/>
    <s v="No"/>
    <s v="Clothing"/>
    <s v="Yes"/>
    <n v="2732"/>
    <s v="Zara"/>
    <s v="https://www.zara.com/us/en/wool-blend-knit-sweater-p02893159.html"/>
    <s v="329282612-401-2"/>
    <s v="LEATHER BIKER JACKET"/>
    <s v="Round neck long sleeve sweater. Metallic fabric detail and frayed trim."/>
    <n v="89.9"/>
    <s v="USD"/>
    <s v="2024-02-19T09:10:33.128884"/>
    <s v="sweaters"/>
    <x v="0"/>
    <x v="1"/>
  </r>
  <r>
    <n v="119044"/>
    <s v="Aisle"/>
    <s v="No"/>
    <s v="Clothing"/>
    <s v="Yes"/>
    <n v="1140"/>
    <s v="Zara"/>
    <s v="https://www.zara.com/us/en/soft-jewel-sweater-p02298153.html"/>
    <s v="320026789-714-2"/>
    <s v="CROPPED LEATHER JACKET"/>
    <s v="Relaxed fit overshirt made of 25% wool fabric. Lapel collar and long sleeves with buttoned cuffs. Patch pocket at chest and side pockets at hip. Front button closure."/>
    <n v="169"/>
    <s v="USD"/>
    <s v="2024-02-19T09:10:33.890995"/>
    <s v="sweaters"/>
    <x v="0"/>
    <x v="1"/>
  </r>
  <r>
    <n v="121348"/>
    <s v="End-cap"/>
    <s v="No"/>
    <s v="Clothing"/>
    <s v="Yes"/>
    <n v="1008"/>
    <s v="Zara"/>
    <s v="https://www.zara.com/us/en/faux-fur-jewel-sweater-p07901339.html"/>
    <s v="323216360-406-2"/>
    <s v="FAUX LEATHER BOXY FIT JACKET"/>
    <s v="Relaxed fit overshirt made of stretch fabric. Lapel collar and long sleeves with buttoned cuffs. Chest patch pocket. Front button closure."/>
    <n v="169"/>
    <s v="USD"/>
    <s v="2024-02-19T09:10:34.521463"/>
    <s v="t-shirts"/>
    <x v="0"/>
    <x v="1"/>
  </r>
  <r>
    <n v="163982"/>
    <s v="Front of Store"/>
    <s v="No"/>
    <s v="Clothing"/>
    <s v="No"/>
    <n v="2685"/>
    <s v="Zara"/>
    <s v="https://www.zara.com/us/en/metal-bead-knit-sweater-p03920018.html"/>
    <s v="318209963-800-2"/>
    <s v="FAUX LEATHER JACKET"/>
    <s v="Cropped overshirt. Lapel collar and long sleeves with buttoned cuffs. Chest patch pocket. Irregular trim. Front button closure."/>
    <n v="69.900000000000006"/>
    <s v="USD"/>
    <s v="2024-02-19T09:10:35.068338"/>
    <s v="t-shirts"/>
    <x v="0"/>
    <x v="1"/>
  </r>
  <r>
    <n v="185774"/>
    <s v="End-cap"/>
    <s v="Yes"/>
    <s v="Clothing"/>
    <s v="Yes"/>
    <n v="1145"/>
    <s v="Zara"/>
    <s v="https://www.zara.com/us/en/knit-sweater-with-buttons-p08851131.html"/>
    <s v="316727555-700-2"/>
    <s v="FAUX SUEDE BOMBER JACKET"/>
    <s v="Overshirt with lapel collar and long sleeves with buttoned cuffs. Chest patch pocket. Front button closure."/>
    <n v="19.989999999999998"/>
    <s v="USD"/>
    <s v="2024-02-19T09:10:35.641404"/>
    <s v="t-shirts"/>
    <x v="0"/>
    <x v="0"/>
  </r>
  <r>
    <n v="144651"/>
    <s v="Aisle"/>
    <s v="Yes"/>
    <s v="Clothing"/>
    <s v="No"/>
    <n v="1791"/>
    <s v="Zara"/>
    <s v="https://www.zara.com/us/en/jewel-knit-sweater-p05755005.html"/>
    <s v="312571093-710-2"/>
    <s v="DENIM BOMBER JACKET"/>
    <s v="Relaxed fit overshirt made of wool blend fabric. Lapel collar and long sleeves with buttoned cuffs. Welt pockets at hip. Front zip closure."/>
    <n v="139"/>
    <s v="USD"/>
    <s v="2024-02-19T09:10:36.152051"/>
    <s v="t-shirts"/>
    <x v="0"/>
    <x v="1"/>
  </r>
  <r>
    <n v="195103"/>
    <s v="Aisle"/>
    <s v="Yes"/>
    <s v="Clothing"/>
    <s v="No"/>
    <n v="2849"/>
    <s v="Zara"/>
    <s v="https://www.zara.com/us/en/knit-sweater-with-piping-p05536151.html"/>
    <s v="330290387-401-2"/>
    <s v="BOUCLE TEXTURED JACKET"/>
    <s v="Varsity jacket with elastic collar and long sleeves. Welt pockets at hip and interior pocket. Embroidered appliquÃ© and contrast front and back patches. Rib trim. Front snap button closure."/>
    <n v="109"/>
    <s v="USD"/>
    <s v="2024-02-19T09:10:36.839166"/>
    <s v="t-shirts"/>
    <x v="0"/>
    <x v="1"/>
  </r>
  <r>
    <n v="123047"/>
    <s v="Aisle"/>
    <s v="No"/>
    <s v="Clothing"/>
    <s v="Yes"/>
    <n v="2985"/>
    <s v="Zara"/>
    <s v="https://www.zara.com/us/en/fine-knit-crop-sweater-p09598029.html"/>
    <s v="313027279-800-2"/>
    <s v="SUIT JACKET IN 100% LINEN"/>
    <s v="Quilted jacket made of technical fabric. Lapel collar and long sleeves. Welt pockets at hip. Rib trim. Front zip closure."/>
    <n v="109"/>
    <s v="USD"/>
    <s v="2024-02-19T09:10:37.484871"/>
    <s v="t-shirts"/>
    <x v="0"/>
    <x v="1"/>
  </r>
  <r>
    <n v="123077"/>
    <s v="Front of Store"/>
    <s v="No"/>
    <s v="Clothing"/>
    <s v="No"/>
    <n v="1603"/>
    <s v="Zara"/>
    <s v="https://www.zara.com/us/en/knit-sweater-with-rips-p00021110.html"/>
    <s v="320671529-802-2"/>
    <s v="JACQUARD DENIM JACKET"/>
    <s v="Jacket made of technical fabric with padded interior. Lapel collar and long sleeves with elastic cuffs. Welt pockets at hip and interior pocket. Adjustable drawstring hem. Front snap button closure."/>
    <n v="109"/>
    <s v="USD"/>
    <s v="2024-02-19T09:10:38.362632"/>
    <s v="t-shirts"/>
    <x v="0"/>
    <x v="1"/>
  </r>
  <r>
    <n v="171860"/>
    <s v="Aisle"/>
    <s v="Yes"/>
    <s v="Clothing"/>
    <s v="No"/>
    <n v="707"/>
    <s v="Zara"/>
    <s v="https://www.zara.com/us/en/gathered-waist-knit-sweater-p05536012.html"/>
    <s v="323646471-802-2"/>
    <s v="PADDED DENIM JACKET"/>
    <s v="Slightly cropped denim jacket. Lapel collar and long sleeves with buttoned cuffs. Flap patch pocket at chest and side hip. Washed effect. Front button closure."/>
    <n v="109"/>
    <s v="USD"/>
    <s v="2024-02-19T09:10:38.884024"/>
    <s v="t-shirts"/>
    <x v="0"/>
    <x v="1"/>
  </r>
  <r>
    <n v="149487"/>
    <s v="Aisle"/>
    <s v="No"/>
    <s v="Clothing"/>
    <s v="Yes"/>
    <n v="1258"/>
    <s v="Zara"/>
    <s v="https://www.zara.com/us/en/knit-v-neck-sweater-p06771003.html"/>
    <s v="312978838-611-2"/>
    <s v="LEATHER JACKET"/>
    <s v="Boxy fit jacket. Lapel collar and long sleeves with buttoned cuffs. Patch pockets at hip. Washed effect.Asymmetric hem with side vents. Front button closure."/>
    <n v="99.9"/>
    <s v="USD"/>
    <s v="2024-02-19T09:10:39.415761"/>
    <s v="t-shirts"/>
    <x v="0"/>
    <x v="1"/>
  </r>
  <r>
    <n v="168516"/>
    <s v="Front of Store"/>
    <s v="Yes"/>
    <s v="Clothing"/>
    <s v="No"/>
    <n v="2168"/>
    <s v="Zara"/>
    <s v="https://www.zara.com/us/en/basic-foil-knit-sweater-p00506101.html"/>
    <s v="336446858-822-2"/>
    <s v="LIGHTWEIGHT BOMBER JACKET"/>
    <s v="Jacket made of faux shearling fabric. V-neckline and long sleeves with elastic cuffs. Lined interior with structured mesh fabric. Welt pockets at hip. Adjustable hem with side elastics. Front snap button closure."/>
    <n v="89.9"/>
    <s v="USD"/>
    <s v="2024-02-19T09:10:39.911179"/>
    <s v="t-shirts"/>
    <x v="0"/>
    <x v="1"/>
  </r>
  <r>
    <n v="177771"/>
    <s v="End-cap"/>
    <s v="Yes"/>
    <s v="Clothing"/>
    <s v="Yes"/>
    <n v="1764"/>
    <s v="Zara"/>
    <s v="https://www.zara.com/us/en/contrast-topstitching-crop-knit-sweater-p09598003.html"/>
    <s v="281883711-071-2"/>
    <s v="SUIT JACKET"/>
    <s v="Jacket with lightly padded interior. Corduroy lapel collar. Long sleeves. Patch pockets at hip. Front button closure."/>
    <n v="69.900000000000006"/>
    <s v="USD"/>
    <s v="2024-02-19T09:10:40.681401"/>
    <s v="t-shirts"/>
    <x v="0"/>
    <x v="1"/>
  </r>
  <r>
    <n v="172015"/>
    <s v="End-cap"/>
    <s v="Yes"/>
    <s v="Clothing"/>
    <s v="Yes"/>
    <n v="2622"/>
    <s v="Zara"/>
    <s v="https://www.zara.com/us/en/striped-crop-knit-sweater-p06771158.html"/>
    <s v="313008692-514-2"/>
    <s v="FAUX LEATHER BOMBER JACKET"/>
    <s v="Cropped overshirt. Lapel collar and long sleeves with buttoned cuffs. Front patch pockets. Irregular finished seams. Front button closure."/>
    <n v="139"/>
    <s v="USD"/>
    <s v="2024-02-19T09:10:41.519426"/>
    <s v="t-shirts"/>
    <x v="0"/>
    <x v="1"/>
  </r>
  <r>
    <n v="118985"/>
    <s v="Aisle"/>
    <s v="No"/>
    <s v="Clothing"/>
    <s v="Yes"/>
    <n v="694"/>
    <s v="Zara"/>
    <s v="https://www.zara.com/us/en/basic-knit-sweater-p01509115.html"/>
    <s v="281593208-015-2"/>
    <s v="PATCH BOMBER JACKET"/>
    <s v="Vest made of viscose and wool blend fabric. V-neckline. Patch pockets at hip. Front zip closure."/>
    <n v="139"/>
    <s v="USD"/>
    <s v="2024-02-19T09:10:42.016223"/>
    <s v="t-shirts"/>
    <x v="0"/>
    <x v="1"/>
  </r>
  <r>
    <n v="112194"/>
    <s v="Aisle"/>
    <s v="Yes"/>
    <s v="Clothing"/>
    <s v="Yes"/>
    <n v="2187"/>
    <s v="Zara"/>
    <s v="https://www.zara.com/us/en/v-neck-knit-sweater-p03519001.html"/>
    <s v="314937772-710-2"/>
    <s v="STRETCH POCKET OVERSHIRT"/>
    <s v="Varsity jacket made of faux suede fabric. Double welt pockets at hip and interior pocket. Front and back contrasting patch appliquÃ©s and embroidery. Rib trim. Front snap button closure."/>
    <n v="109"/>
    <s v="USD"/>
    <s v="2024-02-19T09:10:42.593244"/>
    <s v="jackets"/>
    <x v="0"/>
    <x v="1"/>
  </r>
  <r>
    <n v="113435"/>
    <s v="Aisle"/>
    <s v="No"/>
    <s v="Clothing"/>
    <s v="Yes"/>
    <n v="2973"/>
    <s v="Zara"/>
    <s v="https://www.zara.com/us/en/foil-knit-crop-sweater-p06771001.html"/>
    <s v="320278659-251-2"/>
    <s v="RIB COLLAR JACKET"/>
    <s v="Overshirt made of stretchy fabric. Lapel collar and long sleeves with snap buttoned cuffs. Chest patch pockets. Front snap button closure."/>
    <n v="129"/>
    <s v="USD"/>
    <s v="2024-02-19T09:10:43.379668"/>
    <s v="jackets"/>
    <x v="0"/>
    <x v="1"/>
  </r>
  <r>
    <n v="159182"/>
    <s v="Front of Store"/>
    <s v="Yes"/>
    <s v="Clothing"/>
    <s v="No"/>
    <n v="1014"/>
    <s v="Zara"/>
    <s v="https://www.zara.com/us/en/basic-100-wool-sweater-p02893106.html"/>
    <s v="321993245-500-2"/>
    <s v="FAUX LEATHER OVERSIZED JACKET LIMITED EDITION"/>
    <s v="Jacket made of technical fabric with padded interior. Tonal elastic rib high collar. Long sleeves. Welt pockets at hip and interior pocket. Interior elastic finish. Front zip closure."/>
    <n v="169"/>
    <s v="USD"/>
    <s v="2024-02-19T09:10:43.883037"/>
    <s v="jackets"/>
    <x v="0"/>
    <x v="1"/>
  </r>
  <r>
    <n v="199233"/>
    <s v="Aisle"/>
    <s v="Yes"/>
    <s v="Clothing"/>
    <s v="No"/>
    <n v="2222"/>
    <s v="Zara"/>
    <s v="https://www.zara.com/us/en/colorblock-knit-crop-sweater-p05536008.html"/>
    <s v="330590505-500-2"/>
    <s v="CONTRASTING PATCHES BOMBER JACKET"/>
    <s v="Oversized jacket. Notched lapel collar and long sleeves. Flap pockets at hip and interior pocket. Front button closure."/>
    <n v="159"/>
    <s v="USD"/>
    <s v="2024-02-19T09:10:44.463883"/>
    <s v="jackets"/>
    <x v="0"/>
    <x v="1"/>
  </r>
  <r>
    <n v="137044"/>
    <s v="Aisle"/>
    <s v="No"/>
    <s v="Clothing"/>
    <s v="Yes"/>
    <n v="2534"/>
    <s v="Zara"/>
    <s v="https://www.zara.com/us/en/hooded-technical-jacket-p01538301.html"/>
    <s v="320680326-107-39"/>
    <s v="PATCH BOMBER JACKET"/>
    <s v="Varsity jacket with elastic collar and long sleeves. Welt pockets at hip and interior pocket. Embroidered appliquÃ© and contrast front and back patches. Rib trim. Front snap button closure."/>
    <n v="12.99"/>
    <s v="USD"/>
    <s v="2024-02-19T09:10:45.009106"/>
    <s v="jackets"/>
    <x v="0"/>
    <x v="0"/>
  </r>
  <r>
    <n v="154736"/>
    <s v="Front of Store"/>
    <s v="Yes"/>
    <s v="Clothing"/>
    <s v="Yes"/>
    <n v="1466"/>
    <s v="Zara"/>
    <s v="https://www.zara.com/us/en/houndstooth-suit-jacket-p04285498.html"/>
    <s v="311292244-800-39"/>
    <s v="CROPPED BOMBER JACKET LIMITED EDITION"/>
    <s v="Varsity jacket with padded interior. Rib elastic collar and long sleeves in contrast faux leather. Double welt pockets at hip and interior pocket. Contrasting patch appliquÃ©s at front and back. Rib trim. Front snap button closure."/>
    <n v="19.899999999999999"/>
    <s v="USD"/>
    <s v="2024-02-19T09:10:45.631804"/>
    <s v="jackets"/>
    <x v="0"/>
    <x v="0"/>
  </r>
  <r>
    <n v="141434"/>
    <s v="Front of Store"/>
    <s v="No"/>
    <s v="Clothing"/>
    <s v="Yes"/>
    <n v="2870"/>
    <s v="Zara"/>
    <s v="https://www.zara.com/us/en/bomber-jacket-p05344402.html"/>
    <s v="311307610-400-39"/>
    <s v="FAUX LEATHER PUFFER JACKET"/>
    <s v="Jacket with lightly padded interior. Rib collar and long sleeves. Flap pockets at waist. Rib trim. Front asymmetric zip closure."/>
    <n v="39.9"/>
    <s v="USD"/>
    <s v="2024-02-19T09:10:31.877972"/>
    <s v="jackets"/>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E9AE32-F4F5-4D2C-A6AD-16456DBFFC75}" name="TablaDinámica2" cacheId="4107" applyNumberFormats="0" applyBorderFormats="0" applyFontFormats="0" applyPatternFormats="0" applyAlignmentFormats="0" applyWidthHeightFormats="1" dataCaption="Valores" updatedVersion="7" minRefreshableVersion="3" useAutoFormatting="1" itemPrintTitles="1" createdVersion="7" indent="0" compact="0" outline="1" outlineData="1" compactData="0" multipleFieldFilters="0" chartFormat="9">
  <location ref="F3:G7" firstHeaderRow="1" firstDataRow="1" firstDataCol="1"/>
  <pivotFields count="17">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3">
        <item x="0"/>
        <item x="1"/>
        <item t="default"/>
      </items>
    </pivotField>
    <pivotField axis="axisRow" dataField="1" compact="0" showAll="0">
      <items count="4">
        <item x="2"/>
        <item x="0"/>
        <item x="1"/>
        <item t="default"/>
      </items>
    </pivotField>
  </pivotFields>
  <rowFields count="1">
    <field x="16"/>
  </rowFields>
  <rowItems count="4">
    <i>
      <x/>
    </i>
    <i>
      <x v="1"/>
    </i>
    <i>
      <x v="2"/>
    </i>
    <i t="grand">
      <x/>
    </i>
  </rowItems>
  <colItems count="1">
    <i/>
  </colItems>
  <dataFields count="1">
    <dataField name="Cuenta de Agrupacion" fld="16"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6" count="1" selected="0">
            <x v="0"/>
          </reference>
        </references>
      </pivotArea>
    </chartFormat>
    <chartFormat chart="8" format="7">
      <pivotArea type="data" outline="0" fieldPosition="0">
        <references count="2">
          <reference field="4294967294" count="1" selected="0">
            <x v="0"/>
          </reference>
          <reference field="16" count="1" selected="0">
            <x v="1"/>
          </reference>
        </references>
      </pivotArea>
    </chartFormat>
    <chartFormat chart="8"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B1F380-F5C2-483F-A7EC-B74A246A400E}" name="TablaDinámica1" cacheId="4107"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location ref="A3:C6" firstHeaderRow="0" firstDataRow="1" firstDataCol="1" rowPageCount="1" colPageCount="1"/>
  <pivotFields count="17">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axis="axisPage" multipleItemSelectionAllowed="1" showAll="0">
      <items count="4">
        <item x="2"/>
        <item x="0"/>
        <item x="1"/>
        <item t="default"/>
      </items>
    </pivotField>
  </pivotFields>
  <rowFields count="1">
    <field x="15"/>
  </rowFields>
  <rowItems count="3">
    <i>
      <x/>
    </i>
    <i>
      <x v="1"/>
    </i>
    <i t="grand">
      <x/>
    </i>
  </rowItems>
  <colFields count="1">
    <field x="-2"/>
  </colFields>
  <colItems count="2">
    <i>
      <x/>
    </i>
    <i i="1">
      <x v="1"/>
    </i>
  </colItems>
  <pageFields count="1">
    <pageField fld="16" hier="-1"/>
  </pageFields>
  <dataFields count="2">
    <dataField name="Promedio de price" fld="11" subtotal="average" baseField="15" baseItem="0"/>
    <dataField name="Cuenta de price" fld="11" subtotal="count" baseField="15" baseItem="0"/>
  </dataFields>
  <formats count="1">
    <format dxfId="4">
      <pivotArea field="15" grandRow="1" outline="0" collapsedLevelsAreSubtotals="1" axis="axisRow"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C6F708-8451-4DCF-ACAF-FD68BCFEA26F}" name="TablaDinámica4" cacheId="4107"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location ref="A11:B14"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items count="4">
        <item x="2"/>
        <item x="0"/>
        <item x="1"/>
        <item t="default"/>
      </items>
    </pivotField>
  </pivotFields>
  <rowFields count="1">
    <field x="15"/>
  </rowFields>
  <rowItems count="3">
    <i>
      <x/>
    </i>
    <i>
      <x v="1"/>
    </i>
    <i t="grand">
      <x/>
    </i>
  </rowItems>
  <colItems count="1">
    <i/>
  </colItems>
  <dataFields count="1">
    <dataField name="Promedio de price" fld="11" subtotal="average" baseField="15" baseItem="0"/>
  </dataFields>
  <formats count="1">
    <format dxfId="3">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grupacion" xr10:uid="{E8A0DC99-E4C3-431E-B70B-8E5C38B53D0D}" sourceName="Agrupacion">
  <pivotTables>
    <pivotTable tabId="2" name="TablaDinámica1"/>
    <pivotTable tabId="2" name="TablaDinámica2"/>
    <pivotTable tabId="2" name="TablaDinámica4"/>
  </pivotTables>
  <data>
    <tabular pivotCacheId="7604358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tion" xr10:uid="{5821C1F7-3923-43F7-9D1E-A3D3883AAE01}" sourceName="section">
  <pivotTables>
    <pivotTable tabId="2" name="TablaDinámica1"/>
    <pivotTable tabId="2" name="TablaDinámica2"/>
    <pivotTable tabId="2" name="TablaDinámica4"/>
  </pivotTables>
  <data>
    <tabular pivotCacheId="760435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rupacion" xr10:uid="{597621D2-32AC-45A9-8D54-99AF03A8C917}" cache="SegmentaciónDeDatos_Agrupacion" caption="Agrupacion" style="SlicerStyleOther1" rowHeight="234950"/>
  <slicer name="section" xr10:uid="{998EF1C2-AF7A-436B-81D1-213A87621596}" cache="SegmentaciónDeDatos_section" caption="section"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679156-2290-45CB-8B2E-D2175EE1BA36}" name="Tabla1" displayName="Tabla1" ref="A1:Q252" totalsRowCount="1">
  <autoFilter ref="A1:Q251" xr:uid="{65679156-2290-45CB-8B2E-D2175EE1BA36}"/>
  <tableColumns count="17">
    <tableColumn id="1" xr3:uid="{03BF1B9F-6507-4407-89A3-263CD02BD9F2}" name="Product ID"/>
    <tableColumn id="2" xr3:uid="{155C1392-4EAE-44FF-AC7C-89E8E0C42EAE}" name="Product Position"/>
    <tableColumn id="3" xr3:uid="{F1FA02E7-3B75-49B6-A2C7-79D9FC5903D8}" name="Promotion"/>
    <tableColumn id="4" xr3:uid="{E9C74442-88EF-4ADB-86B8-FC4C1A0B6673}" name="Product Category"/>
    <tableColumn id="5" xr3:uid="{EA4FFC82-3B7C-4AAF-9CEB-045CAFE77108}" name="Seasonal"/>
    <tableColumn id="6" xr3:uid="{78897F0C-A91A-40BA-BCE0-AB34BA770A70}" name="Sales Volume"/>
    <tableColumn id="7" xr3:uid="{07B8AD6D-87D9-46AF-9DBD-86639F6AC66B}" name="brand"/>
    <tableColumn id="8" xr3:uid="{EB1659D2-65C5-4900-93C4-F4EEAE0229BD}" name="url"/>
    <tableColumn id="9" xr3:uid="{428B410A-AB66-4373-AEFA-010DEFB5AF38}" name="sku"/>
    <tableColumn id="10" xr3:uid="{53D99D64-2C83-44C8-A52D-203FE34F84FA}" name="name"/>
    <tableColumn id="11" xr3:uid="{B608125E-4B26-4333-A867-6A022F2B2817}" name="description"/>
    <tableColumn id="12" xr3:uid="{62F31149-03CD-4596-952A-B5AADCD2FD7C}" name="price" dataDxfId="1" totalsRowDxfId="2" dataCellStyle="Moneda"/>
    <tableColumn id="13" xr3:uid="{9CAE146A-F1E8-40B3-8991-944837947FD8}" name="currency"/>
    <tableColumn id="14" xr3:uid="{205B424B-04EF-4722-8EB2-567B97B22B61}" name="scraped_at"/>
    <tableColumn id="15" xr3:uid="{3554C94B-710B-4621-B992-33B6E172B160}" name="terms"/>
    <tableColumn id="16" xr3:uid="{56A4F651-8930-4780-8C4B-1F6F6137213C}" name="section"/>
    <tableColumn id="17" xr3:uid="{C2FB1E89-0571-471F-AB04-628C2E8850FC}" name="Agrupacion" dataDxfId="0">
      <calculatedColumnFormula>IF(Tabla1[[#This Row],[price]]&lt;20, "Low Cost",IF(Tabla1[[#This Row],[price]]&lt;=50, "Estándar", "Premium"))</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4B0FF2-47B6-410B-84CD-A0A0AC3B80E9}" name="Tabla2" displayName="Tabla2" ref="A1:Q251" totalsRowShown="0">
  <autoFilter ref="A1:Q251" xr:uid="{944B0FF2-47B6-410B-84CD-A0A0AC3B80E9}"/>
  <tableColumns count="17">
    <tableColumn id="1" xr3:uid="{91742D91-3E43-4622-827D-ECBF0F9E575A}" name="Product ID"/>
    <tableColumn id="2" xr3:uid="{55BB157C-90E7-4A16-B23C-67C411C6A3EE}" name="Product Position"/>
    <tableColumn id="3" xr3:uid="{45A59E57-0B5D-4537-9F4C-67CE4BF94422}" name="Promotion"/>
    <tableColumn id="4" xr3:uid="{19C5184D-9257-47C7-8DD6-4680193B4AF3}" name="Product Category"/>
    <tableColumn id="5" xr3:uid="{DD700E82-9B9E-47BB-9AF6-5548585A31D9}" name="Seasonal"/>
    <tableColumn id="6" xr3:uid="{62393D33-B64A-40DC-8062-A5E90423CE5C}" name="Sales Volume"/>
    <tableColumn id="7" xr3:uid="{CAE6F273-9DE1-44AC-8B0D-6F95D62BABB3}" name="brand"/>
    <tableColumn id="8" xr3:uid="{3F967CE1-CF31-433E-8FAF-BC0BEB041974}" name="url"/>
    <tableColumn id="9" xr3:uid="{2E3527AB-FAE6-42FB-93DF-2B72C080E3D1}" name="sku"/>
    <tableColumn id="10" xr3:uid="{61EF1AB7-1086-4D0B-8B2B-6CFBBE63E00D}" name="name"/>
    <tableColumn id="11" xr3:uid="{F1F7B16F-4778-465E-9255-B8B79B286850}" name="description"/>
    <tableColumn id="12" xr3:uid="{812C23AF-F9B4-454C-BAD4-B75987244493}" name="price"/>
    <tableColumn id="13" xr3:uid="{97E404D6-8DA0-40E1-BB05-81AA8587D01B}" name="currency"/>
    <tableColumn id="14" xr3:uid="{5B500A83-907E-469F-805E-2EA06E0B401A}" name="scraped_at"/>
    <tableColumn id="15" xr3:uid="{D324BDB7-A8B5-44E3-99D3-50FF61126D07}" name="terms"/>
    <tableColumn id="16" xr3:uid="{4B9C58DC-1E7E-4334-AAF0-27A99DC4B1DD}" name="section"/>
    <tableColumn id="17" xr3:uid="{5DB449E0-25B3-4049-8F93-114189D61ED3}" name="Agrupac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0D44-205C-40DA-8411-284183AF58AB}">
  <dimension ref="A1:Q251"/>
  <sheetViews>
    <sheetView workbookViewId="0">
      <selection activeCell="L1" sqref="L1"/>
    </sheetView>
  </sheetViews>
  <sheetFormatPr defaultColWidth="11.42578125" defaultRowHeight="14.45"/>
  <cols>
    <col min="1" max="1" width="12.85546875" bestFit="1" customWidth="1"/>
    <col min="2" max="2" width="18.28515625" bestFit="1" customWidth="1"/>
    <col min="3" max="3" width="13" bestFit="1" customWidth="1"/>
    <col min="4" max="4" width="19" bestFit="1" customWidth="1"/>
    <col min="6" max="6" width="15.5703125" bestFit="1" customWidth="1"/>
    <col min="8" max="8" width="84.28515625" bestFit="1" customWidth="1"/>
    <col min="9" max="9" width="18" bestFit="1" customWidth="1"/>
    <col min="10" max="10" width="47.85546875" bestFit="1" customWidth="1"/>
    <col min="11" max="11" width="255.7109375" bestFit="1" customWidth="1"/>
    <col min="12" max="12" width="11.85546875" customWidth="1"/>
    <col min="14" max="14" width="27.425781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185102</v>
      </c>
      <c r="B2" t="s">
        <v>17</v>
      </c>
      <c r="C2" t="s">
        <v>18</v>
      </c>
      <c r="D2" t="s">
        <v>19</v>
      </c>
      <c r="E2" t="s">
        <v>18</v>
      </c>
      <c r="F2">
        <v>2823</v>
      </c>
      <c r="G2" t="s">
        <v>20</v>
      </c>
      <c r="H2" t="s">
        <v>21</v>
      </c>
      <c r="I2" t="s">
        <v>22</v>
      </c>
      <c r="J2" t="s">
        <v>23</v>
      </c>
      <c r="K2" t="s">
        <v>24</v>
      </c>
      <c r="L2" s="1">
        <v>19.989999999999998</v>
      </c>
      <c r="M2" t="s">
        <v>25</v>
      </c>
      <c r="N2" t="s">
        <v>26</v>
      </c>
      <c r="O2" t="s">
        <v>27</v>
      </c>
      <c r="P2" t="s">
        <v>28</v>
      </c>
      <c r="Q2" t="str">
        <f>IF(Tabla1[[#This Row],[price]]&lt;20, "Low Cost",IF(Tabla1[[#This Row],[price]]&lt;=50, "Estándar", "Premium"))</f>
        <v>Low Cost</v>
      </c>
    </row>
    <row r="3" spans="1:17">
      <c r="A3">
        <v>188771</v>
      </c>
      <c r="B3" t="s">
        <v>17</v>
      </c>
      <c r="C3" t="s">
        <v>18</v>
      </c>
      <c r="D3" t="s">
        <v>19</v>
      </c>
      <c r="E3" t="s">
        <v>18</v>
      </c>
      <c r="F3">
        <v>654</v>
      </c>
      <c r="G3" t="s">
        <v>20</v>
      </c>
      <c r="H3" t="s">
        <v>29</v>
      </c>
      <c r="I3" t="s">
        <v>30</v>
      </c>
      <c r="J3" t="s">
        <v>31</v>
      </c>
      <c r="K3" t="s">
        <v>32</v>
      </c>
      <c r="L3" s="1">
        <v>169</v>
      </c>
      <c r="M3" t="s">
        <v>25</v>
      </c>
      <c r="N3" t="s">
        <v>33</v>
      </c>
      <c r="O3" t="s">
        <v>27</v>
      </c>
      <c r="P3" t="s">
        <v>28</v>
      </c>
      <c r="Q3" t="str">
        <f>IF(Tabla1[[#This Row],[price]]&lt;20, "Low Cost",IF(Tabla1[[#This Row],[price]]&lt;=50, "Estándar", "Premium"))</f>
        <v>Premium</v>
      </c>
    </row>
    <row r="4" spans="1:17">
      <c r="A4">
        <v>180176</v>
      </c>
      <c r="B4" t="s">
        <v>34</v>
      </c>
      <c r="C4" t="s">
        <v>35</v>
      </c>
      <c r="D4" t="s">
        <v>19</v>
      </c>
      <c r="E4" t="s">
        <v>35</v>
      </c>
      <c r="F4">
        <v>2220</v>
      </c>
      <c r="G4" t="s">
        <v>20</v>
      </c>
      <c r="H4" t="s">
        <v>36</v>
      </c>
      <c r="I4" t="s">
        <v>37</v>
      </c>
      <c r="J4" t="s">
        <v>38</v>
      </c>
      <c r="K4" t="s">
        <v>39</v>
      </c>
      <c r="L4" s="1">
        <v>129</v>
      </c>
      <c r="M4" t="s">
        <v>25</v>
      </c>
      <c r="N4" t="s">
        <v>40</v>
      </c>
      <c r="O4" t="s">
        <v>27</v>
      </c>
      <c r="P4" t="s">
        <v>28</v>
      </c>
      <c r="Q4" t="str">
        <f>IF(Tabla1[[#This Row],[price]]&lt;20, "Low Cost",IF(Tabla1[[#This Row],[price]]&lt;=50, "Estándar", "Premium"))</f>
        <v>Premium</v>
      </c>
    </row>
    <row r="5" spans="1:17">
      <c r="A5">
        <v>112917</v>
      </c>
      <c r="B5" t="s">
        <v>17</v>
      </c>
      <c r="C5" t="s">
        <v>35</v>
      </c>
      <c r="D5" t="s">
        <v>19</v>
      </c>
      <c r="E5" t="s">
        <v>35</v>
      </c>
      <c r="F5">
        <v>1568</v>
      </c>
      <c r="G5" t="s">
        <v>20</v>
      </c>
      <c r="H5" t="s">
        <v>41</v>
      </c>
      <c r="I5" t="s">
        <v>42</v>
      </c>
      <c r="J5" t="s">
        <v>43</v>
      </c>
      <c r="K5" t="s">
        <v>44</v>
      </c>
      <c r="L5" s="1">
        <v>129</v>
      </c>
      <c r="M5" t="s">
        <v>25</v>
      </c>
      <c r="N5" t="s">
        <v>45</v>
      </c>
      <c r="O5" t="s">
        <v>27</v>
      </c>
      <c r="P5" t="s">
        <v>28</v>
      </c>
      <c r="Q5" t="str">
        <f>IF(Tabla1[[#This Row],[price]]&lt;20, "Low Cost",IF(Tabla1[[#This Row],[price]]&lt;=50, "Estándar", "Premium"))</f>
        <v>Premium</v>
      </c>
    </row>
    <row r="6" spans="1:17">
      <c r="A6">
        <v>192936</v>
      </c>
      <c r="B6" t="s">
        <v>34</v>
      </c>
      <c r="C6" t="s">
        <v>18</v>
      </c>
      <c r="D6" t="s">
        <v>19</v>
      </c>
      <c r="E6" t="s">
        <v>35</v>
      </c>
      <c r="F6">
        <v>2942</v>
      </c>
      <c r="G6" t="s">
        <v>20</v>
      </c>
      <c r="H6" t="s">
        <v>46</v>
      </c>
      <c r="I6" t="s">
        <v>47</v>
      </c>
      <c r="J6" t="s">
        <v>48</v>
      </c>
      <c r="K6" t="s">
        <v>49</v>
      </c>
      <c r="L6" s="1">
        <v>139</v>
      </c>
      <c r="M6" t="s">
        <v>25</v>
      </c>
      <c r="N6" t="s">
        <v>50</v>
      </c>
      <c r="O6" t="s">
        <v>27</v>
      </c>
      <c r="P6" t="s">
        <v>28</v>
      </c>
      <c r="Q6" t="str">
        <f>IF(Tabla1[[#This Row],[price]]&lt;20, "Low Cost",IF(Tabla1[[#This Row],[price]]&lt;=50, "Estándar", "Premium"))</f>
        <v>Premium</v>
      </c>
    </row>
    <row r="7" spans="1:17">
      <c r="A7">
        <v>117590</v>
      </c>
      <c r="B7" t="s">
        <v>34</v>
      </c>
      <c r="C7" t="s">
        <v>18</v>
      </c>
      <c r="D7" t="s">
        <v>19</v>
      </c>
      <c r="E7" t="s">
        <v>18</v>
      </c>
      <c r="F7">
        <v>2968</v>
      </c>
      <c r="G7" t="s">
        <v>20</v>
      </c>
      <c r="H7" t="s">
        <v>51</v>
      </c>
      <c r="I7" t="s">
        <v>52</v>
      </c>
      <c r="J7" t="s">
        <v>53</v>
      </c>
      <c r="K7" t="s">
        <v>54</v>
      </c>
      <c r="L7" s="1">
        <v>79.900000000000006</v>
      </c>
      <c r="M7" t="s">
        <v>25</v>
      </c>
      <c r="N7" t="s">
        <v>55</v>
      </c>
      <c r="O7" t="s">
        <v>27</v>
      </c>
      <c r="P7" t="s">
        <v>28</v>
      </c>
      <c r="Q7" t="str">
        <f>IF(Tabla1[[#This Row],[price]]&lt;20, "Low Cost",IF(Tabla1[[#This Row],[price]]&lt;=50, "Estándar", "Premium"))</f>
        <v>Premium</v>
      </c>
    </row>
    <row r="8" spans="1:17">
      <c r="A8">
        <v>189118</v>
      </c>
      <c r="B8" t="s">
        <v>56</v>
      </c>
      <c r="C8" t="s">
        <v>35</v>
      </c>
      <c r="D8" t="s">
        <v>19</v>
      </c>
      <c r="E8" t="s">
        <v>35</v>
      </c>
      <c r="F8">
        <v>952</v>
      </c>
      <c r="G8" t="s">
        <v>20</v>
      </c>
      <c r="H8" t="s">
        <v>57</v>
      </c>
      <c r="I8" t="s">
        <v>58</v>
      </c>
      <c r="J8" t="s">
        <v>59</v>
      </c>
      <c r="K8" t="s">
        <v>60</v>
      </c>
      <c r="L8" s="1">
        <v>69.989999999999995</v>
      </c>
      <c r="M8" t="s">
        <v>25</v>
      </c>
      <c r="N8" t="s">
        <v>61</v>
      </c>
      <c r="O8" t="s">
        <v>27</v>
      </c>
      <c r="P8" t="s">
        <v>28</v>
      </c>
      <c r="Q8" t="str">
        <f>IF(Tabla1[[#This Row],[price]]&lt;20, "Low Cost",IF(Tabla1[[#This Row],[price]]&lt;=50, "Estándar", "Premium"))</f>
        <v>Premium</v>
      </c>
    </row>
    <row r="9" spans="1:17">
      <c r="A9">
        <v>182157</v>
      </c>
      <c r="B9" t="s">
        <v>17</v>
      </c>
      <c r="C9" t="s">
        <v>18</v>
      </c>
      <c r="D9" t="s">
        <v>19</v>
      </c>
      <c r="E9" t="s">
        <v>18</v>
      </c>
      <c r="F9">
        <v>2421</v>
      </c>
      <c r="G9" t="s">
        <v>20</v>
      </c>
      <c r="H9" t="s">
        <v>62</v>
      </c>
      <c r="I9" t="s">
        <v>63</v>
      </c>
      <c r="J9" t="s">
        <v>64</v>
      </c>
      <c r="K9" t="s">
        <v>65</v>
      </c>
      <c r="L9" s="1">
        <v>159</v>
      </c>
      <c r="M9" t="s">
        <v>25</v>
      </c>
      <c r="N9" t="s">
        <v>66</v>
      </c>
      <c r="O9" t="s">
        <v>27</v>
      </c>
      <c r="P9" t="s">
        <v>28</v>
      </c>
      <c r="Q9" t="str">
        <f>IF(Tabla1[[#This Row],[price]]&lt;20, "Low Cost",IF(Tabla1[[#This Row],[price]]&lt;=50, "Estándar", "Premium"))</f>
        <v>Premium</v>
      </c>
    </row>
    <row r="10" spans="1:17">
      <c r="A10">
        <v>141861</v>
      </c>
      <c r="B10" t="s">
        <v>17</v>
      </c>
      <c r="C10" t="s">
        <v>35</v>
      </c>
      <c r="D10" t="s">
        <v>19</v>
      </c>
      <c r="E10" t="s">
        <v>35</v>
      </c>
      <c r="F10">
        <v>1916</v>
      </c>
      <c r="G10" t="s">
        <v>20</v>
      </c>
      <c r="H10" t="s">
        <v>67</v>
      </c>
      <c r="I10" t="s">
        <v>68</v>
      </c>
      <c r="J10" t="s">
        <v>69</v>
      </c>
      <c r="K10" t="s">
        <v>70</v>
      </c>
      <c r="L10" s="1">
        <v>169</v>
      </c>
      <c r="M10" t="s">
        <v>25</v>
      </c>
      <c r="N10" t="s">
        <v>71</v>
      </c>
      <c r="O10" t="s">
        <v>27</v>
      </c>
      <c r="P10" t="s">
        <v>28</v>
      </c>
      <c r="Q10" t="str">
        <f>IF(Tabla1[[#This Row],[price]]&lt;20, "Low Cost",IF(Tabla1[[#This Row],[price]]&lt;=50, "Estándar", "Premium"))</f>
        <v>Premium</v>
      </c>
    </row>
    <row r="11" spans="1:17">
      <c r="A11">
        <v>137121</v>
      </c>
      <c r="B11" t="s">
        <v>17</v>
      </c>
      <c r="C11" t="s">
        <v>18</v>
      </c>
      <c r="D11" t="s">
        <v>19</v>
      </c>
      <c r="E11" t="s">
        <v>35</v>
      </c>
      <c r="F11">
        <v>656</v>
      </c>
      <c r="G11" t="s">
        <v>20</v>
      </c>
      <c r="H11" t="s">
        <v>72</v>
      </c>
      <c r="I11" t="s">
        <v>73</v>
      </c>
      <c r="J11" t="s">
        <v>74</v>
      </c>
      <c r="K11" t="s">
        <v>75</v>
      </c>
      <c r="L11" s="1">
        <v>169</v>
      </c>
      <c r="M11" t="s">
        <v>25</v>
      </c>
      <c r="N11" t="s">
        <v>76</v>
      </c>
      <c r="O11" t="s">
        <v>27</v>
      </c>
      <c r="P11" t="s">
        <v>28</v>
      </c>
      <c r="Q11" t="str">
        <f>IF(Tabla1[[#This Row],[price]]&lt;20, "Low Cost",IF(Tabla1[[#This Row],[price]]&lt;=50, "Estándar", "Premium"))</f>
        <v>Premium</v>
      </c>
    </row>
    <row r="12" spans="1:17">
      <c r="A12">
        <v>113143</v>
      </c>
      <c r="B12" t="s">
        <v>17</v>
      </c>
      <c r="C12" t="s">
        <v>35</v>
      </c>
      <c r="D12" t="s">
        <v>19</v>
      </c>
      <c r="E12" t="s">
        <v>35</v>
      </c>
      <c r="F12">
        <v>2663</v>
      </c>
      <c r="G12" t="s">
        <v>20</v>
      </c>
      <c r="H12" t="s">
        <v>77</v>
      </c>
      <c r="I12" t="s">
        <v>78</v>
      </c>
      <c r="J12" t="s">
        <v>79</v>
      </c>
      <c r="K12" t="s">
        <v>80</v>
      </c>
      <c r="L12" s="1">
        <v>129</v>
      </c>
      <c r="M12" t="s">
        <v>25</v>
      </c>
      <c r="N12" t="s">
        <v>81</v>
      </c>
      <c r="O12" t="s">
        <v>27</v>
      </c>
      <c r="P12" t="s">
        <v>28</v>
      </c>
      <c r="Q12" t="str">
        <f>IF(Tabla1[[#This Row],[price]]&lt;20, "Low Cost",IF(Tabla1[[#This Row],[price]]&lt;=50, "Estándar", "Premium"))</f>
        <v>Premium</v>
      </c>
    </row>
    <row r="13" spans="1:17">
      <c r="A13">
        <v>140028</v>
      </c>
      <c r="B13" t="s">
        <v>17</v>
      </c>
      <c r="C13" t="s">
        <v>35</v>
      </c>
      <c r="D13" t="s">
        <v>19</v>
      </c>
      <c r="E13" t="s">
        <v>35</v>
      </c>
      <c r="F13">
        <v>1260</v>
      </c>
      <c r="G13" t="s">
        <v>20</v>
      </c>
      <c r="H13" t="s">
        <v>82</v>
      </c>
      <c r="I13" t="s">
        <v>83</v>
      </c>
      <c r="J13" t="s">
        <v>84</v>
      </c>
      <c r="K13" t="s">
        <v>85</v>
      </c>
      <c r="L13" s="1">
        <v>159</v>
      </c>
      <c r="M13" t="s">
        <v>25</v>
      </c>
      <c r="N13" t="s">
        <v>86</v>
      </c>
      <c r="O13" t="s">
        <v>27</v>
      </c>
      <c r="P13" t="s">
        <v>28</v>
      </c>
      <c r="Q13" t="str">
        <f>IF(Tabla1[[#This Row],[price]]&lt;20, "Low Cost",IF(Tabla1[[#This Row],[price]]&lt;=50, "Estándar", "Premium"))</f>
        <v>Premium</v>
      </c>
    </row>
    <row r="14" spans="1:17">
      <c r="A14">
        <v>134693</v>
      </c>
      <c r="B14" t="s">
        <v>17</v>
      </c>
      <c r="C14" t="s">
        <v>35</v>
      </c>
      <c r="D14" t="s">
        <v>19</v>
      </c>
      <c r="E14" t="s">
        <v>18</v>
      </c>
      <c r="F14">
        <v>2124</v>
      </c>
      <c r="G14" t="s">
        <v>20</v>
      </c>
      <c r="H14" t="s">
        <v>87</v>
      </c>
      <c r="I14" t="s">
        <v>88</v>
      </c>
      <c r="J14" t="s">
        <v>89</v>
      </c>
      <c r="K14" t="s">
        <v>90</v>
      </c>
      <c r="L14" s="1">
        <v>169</v>
      </c>
      <c r="M14" t="s">
        <v>25</v>
      </c>
      <c r="N14" t="s">
        <v>91</v>
      </c>
      <c r="O14" t="s">
        <v>27</v>
      </c>
      <c r="P14" t="s">
        <v>28</v>
      </c>
      <c r="Q14" t="str">
        <f>IF(Tabla1[[#This Row],[price]]&lt;20, "Low Cost",IF(Tabla1[[#This Row],[price]]&lt;=50, "Estándar", "Premium"))</f>
        <v>Premium</v>
      </c>
    </row>
    <row r="15" spans="1:17">
      <c r="A15">
        <v>151396</v>
      </c>
      <c r="B15" t="s">
        <v>56</v>
      </c>
      <c r="C15" t="s">
        <v>35</v>
      </c>
      <c r="D15" t="s">
        <v>19</v>
      </c>
      <c r="E15" t="s">
        <v>35</v>
      </c>
      <c r="F15">
        <v>729</v>
      </c>
      <c r="G15" t="s">
        <v>20</v>
      </c>
      <c r="H15" t="s">
        <v>92</v>
      </c>
      <c r="I15" t="s">
        <v>93</v>
      </c>
      <c r="J15" t="s">
        <v>94</v>
      </c>
      <c r="K15" t="s">
        <v>95</v>
      </c>
      <c r="L15" s="1">
        <v>439</v>
      </c>
      <c r="M15" t="s">
        <v>25</v>
      </c>
      <c r="N15" t="s">
        <v>96</v>
      </c>
      <c r="O15" t="s">
        <v>27</v>
      </c>
      <c r="P15" t="s">
        <v>28</v>
      </c>
      <c r="Q15" t="str">
        <f>IF(Tabla1[[#This Row],[price]]&lt;20, "Low Cost",IF(Tabla1[[#This Row],[price]]&lt;=50, "Estándar", "Premium"))</f>
        <v>Premium</v>
      </c>
    </row>
    <row r="16" spans="1:17">
      <c r="A16">
        <v>132889</v>
      </c>
      <c r="B16" t="s">
        <v>17</v>
      </c>
      <c r="C16" t="s">
        <v>35</v>
      </c>
      <c r="D16" t="s">
        <v>19</v>
      </c>
      <c r="E16" t="s">
        <v>35</v>
      </c>
      <c r="F16">
        <v>2265</v>
      </c>
      <c r="G16" t="s">
        <v>20</v>
      </c>
      <c r="H16" t="s">
        <v>97</v>
      </c>
      <c r="I16" t="s">
        <v>98</v>
      </c>
      <c r="J16" t="s">
        <v>99</v>
      </c>
      <c r="K16" t="s">
        <v>100</v>
      </c>
      <c r="L16" s="1">
        <v>99.9</v>
      </c>
      <c r="M16" t="s">
        <v>25</v>
      </c>
      <c r="N16" t="s">
        <v>101</v>
      </c>
      <c r="O16" t="s">
        <v>27</v>
      </c>
      <c r="P16" t="s">
        <v>28</v>
      </c>
      <c r="Q16" t="str">
        <f>IF(Tabla1[[#This Row],[price]]&lt;20, "Low Cost",IF(Tabla1[[#This Row],[price]]&lt;=50, "Estándar", "Premium"))</f>
        <v>Premium</v>
      </c>
    </row>
    <row r="17" spans="1:17">
      <c r="A17">
        <v>152174</v>
      </c>
      <c r="B17" t="s">
        <v>34</v>
      </c>
      <c r="C17" t="s">
        <v>18</v>
      </c>
      <c r="D17" t="s">
        <v>19</v>
      </c>
      <c r="E17" t="s">
        <v>18</v>
      </c>
      <c r="F17">
        <v>2226</v>
      </c>
      <c r="G17" t="s">
        <v>20</v>
      </c>
      <c r="H17" t="s">
        <v>102</v>
      </c>
      <c r="I17" t="s">
        <v>103</v>
      </c>
      <c r="J17" t="s">
        <v>104</v>
      </c>
      <c r="K17" t="s">
        <v>105</v>
      </c>
      <c r="L17" s="1">
        <v>99.9</v>
      </c>
      <c r="M17" t="s">
        <v>25</v>
      </c>
      <c r="N17" t="s">
        <v>106</v>
      </c>
      <c r="O17" t="s">
        <v>27</v>
      </c>
      <c r="P17" t="s">
        <v>28</v>
      </c>
      <c r="Q17" t="str">
        <f>IF(Tabla1[[#This Row],[price]]&lt;20, "Low Cost",IF(Tabla1[[#This Row],[price]]&lt;=50, "Estándar", "Premium"))</f>
        <v>Premium</v>
      </c>
    </row>
    <row r="18" spans="1:17">
      <c r="A18">
        <v>129906</v>
      </c>
      <c r="B18" t="s">
        <v>17</v>
      </c>
      <c r="C18" t="s">
        <v>18</v>
      </c>
      <c r="D18" t="s">
        <v>19</v>
      </c>
      <c r="E18" t="s">
        <v>18</v>
      </c>
      <c r="F18">
        <v>2089</v>
      </c>
      <c r="G18" t="s">
        <v>20</v>
      </c>
      <c r="H18" t="s">
        <v>107</v>
      </c>
      <c r="I18" t="s">
        <v>108</v>
      </c>
      <c r="J18" t="s">
        <v>109</v>
      </c>
      <c r="K18" t="s">
        <v>110</v>
      </c>
      <c r="L18" s="1">
        <v>69.900000000000006</v>
      </c>
      <c r="M18" t="s">
        <v>25</v>
      </c>
      <c r="N18" t="s">
        <v>111</v>
      </c>
      <c r="O18" t="s">
        <v>27</v>
      </c>
      <c r="P18" t="s">
        <v>28</v>
      </c>
      <c r="Q18" t="str">
        <f>IF(Tabla1[[#This Row],[price]]&lt;20, "Low Cost",IF(Tabla1[[#This Row],[price]]&lt;=50, "Estándar", "Premium"))</f>
        <v>Premium</v>
      </c>
    </row>
    <row r="19" spans="1:17">
      <c r="A19">
        <v>195879</v>
      </c>
      <c r="B19" t="s">
        <v>56</v>
      </c>
      <c r="C19" t="s">
        <v>35</v>
      </c>
      <c r="D19" t="s">
        <v>19</v>
      </c>
      <c r="E19" t="s">
        <v>35</v>
      </c>
      <c r="F19">
        <v>2339</v>
      </c>
      <c r="G19" t="s">
        <v>20</v>
      </c>
      <c r="H19" t="s">
        <v>112</v>
      </c>
      <c r="I19" t="s">
        <v>113</v>
      </c>
      <c r="J19" t="s">
        <v>114</v>
      </c>
      <c r="K19" t="s">
        <v>115</v>
      </c>
      <c r="L19" s="1">
        <v>129</v>
      </c>
      <c r="M19" t="s">
        <v>25</v>
      </c>
      <c r="N19" t="s">
        <v>116</v>
      </c>
      <c r="O19" t="s">
        <v>27</v>
      </c>
      <c r="P19" t="s">
        <v>28</v>
      </c>
      <c r="Q19" t="str">
        <f>IF(Tabla1[[#This Row],[price]]&lt;20, "Low Cost",IF(Tabla1[[#This Row],[price]]&lt;=50, "Estándar", "Premium"))</f>
        <v>Premium</v>
      </c>
    </row>
    <row r="20" spans="1:17">
      <c r="A20">
        <v>155050</v>
      </c>
      <c r="B20" t="s">
        <v>17</v>
      </c>
      <c r="C20" t="s">
        <v>18</v>
      </c>
      <c r="D20" t="s">
        <v>19</v>
      </c>
      <c r="E20" t="s">
        <v>35</v>
      </c>
      <c r="F20">
        <v>2321</v>
      </c>
      <c r="G20" t="s">
        <v>20</v>
      </c>
      <c r="H20" t="s">
        <v>117</v>
      </c>
      <c r="I20" t="s">
        <v>118</v>
      </c>
      <c r="J20" t="s">
        <v>119</v>
      </c>
      <c r="K20" t="s">
        <v>120</v>
      </c>
      <c r="L20" s="1">
        <v>129</v>
      </c>
      <c r="M20" t="s">
        <v>25</v>
      </c>
      <c r="N20" t="s">
        <v>121</v>
      </c>
      <c r="O20" t="s">
        <v>27</v>
      </c>
      <c r="P20" t="s">
        <v>28</v>
      </c>
      <c r="Q20" t="str">
        <f>IF(Tabla1[[#This Row],[price]]&lt;20, "Low Cost",IF(Tabla1[[#This Row],[price]]&lt;=50, "Estándar", "Premium"))</f>
        <v>Premium</v>
      </c>
    </row>
    <row r="21" spans="1:17">
      <c r="A21">
        <v>194410</v>
      </c>
      <c r="B21" t="s">
        <v>34</v>
      </c>
      <c r="C21" t="s">
        <v>18</v>
      </c>
      <c r="D21" t="s">
        <v>19</v>
      </c>
      <c r="E21" t="s">
        <v>18</v>
      </c>
      <c r="F21">
        <v>669</v>
      </c>
      <c r="G21" t="s">
        <v>20</v>
      </c>
      <c r="H21" t="s">
        <v>122</v>
      </c>
      <c r="I21" t="s">
        <v>123</v>
      </c>
      <c r="J21" t="s">
        <v>64</v>
      </c>
      <c r="K21" t="s">
        <v>124</v>
      </c>
      <c r="L21" s="1">
        <v>159</v>
      </c>
      <c r="M21" t="s">
        <v>25</v>
      </c>
      <c r="N21" t="s">
        <v>125</v>
      </c>
      <c r="O21" t="s">
        <v>27</v>
      </c>
      <c r="P21" t="s">
        <v>28</v>
      </c>
      <c r="Q21" t="str">
        <f>IF(Tabla1[[#This Row],[price]]&lt;20, "Low Cost",IF(Tabla1[[#This Row],[price]]&lt;=50, "Estándar", "Premium"))</f>
        <v>Premium</v>
      </c>
    </row>
    <row r="22" spans="1:17">
      <c r="A22">
        <v>141904</v>
      </c>
      <c r="B22" t="s">
        <v>34</v>
      </c>
      <c r="C22" t="s">
        <v>35</v>
      </c>
      <c r="D22" t="s">
        <v>19</v>
      </c>
      <c r="E22" t="s">
        <v>35</v>
      </c>
      <c r="F22">
        <v>1712</v>
      </c>
      <c r="G22" t="s">
        <v>20</v>
      </c>
      <c r="H22" t="s">
        <v>126</v>
      </c>
      <c r="I22" t="s">
        <v>127</v>
      </c>
      <c r="J22" t="s">
        <v>128</v>
      </c>
      <c r="K22" t="s">
        <v>129</v>
      </c>
      <c r="L22" s="1">
        <v>109</v>
      </c>
      <c r="M22" t="s">
        <v>25</v>
      </c>
      <c r="N22" t="s">
        <v>130</v>
      </c>
      <c r="O22" t="s">
        <v>27</v>
      </c>
      <c r="P22" t="s">
        <v>28</v>
      </c>
      <c r="Q22" t="str">
        <f>IF(Tabla1[[#This Row],[price]]&lt;20, "Low Cost",IF(Tabla1[[#This Row],[price]]&lt;=50, "Estándar", "Premium"))</f>
        <v>Premium</v>
      </c>
    </row>
    <row r="23" spans="1:17">
      <c r="A23">
        <v>124981</v>
      </c>
      <c r="B23" t="s">
        <v>56</v>
      </c>
      <c r="C23" t="s">
        <v>18</v>
      </c>
      <c r="D23" t="s">
        <v>19</v>
      </c>
      <c r="E23" t="s">
        <v>35</v>
      </c>
      <c r="F23">
        <v>1832</v>
      </c>
      <c r="G23" t="s">
        <v>20</v>
      </c>
      <c r="H23" t="s">
        <v>131</v>
      </c>
      <c r="I23" t="s">
        <v>132</v>
      </c>
      <c r="J23" t="s">
        <v>133</v>
      </c>
      <c r="K23" t="s">
        <v>134</v>
      </c>
      <c r="L23" s="1">
        <v>89.9</v>
      </c>
      <c r="M23" t="s">
        <v>25</v>
      </c>
      <c r="N23" t="s">
        <v>135</v>
      </c>
      <c r="O23" t="s">
        <v>27</v>
      </c>
      <c r="P23" t="s">
        <v>28</v>
      </c>
      <c r="Q23" t="str">
        <f>IF(Tabla1[[#This Row],[price]]&lt;20, "Low Cost",IF(Tabla1[[#This Row],[price]]&lt;=50, "Estándar", "Premium"))</f>
        <v>Premium</v>
      </c>
    </row>
    <row r="24" spans="1:17">
      <c r="A24">
        <v>161909</v>
      </c>
      <c r="B24" t="s">
        <v>17</v>
      </c>
      <c r="C24" t="s">
        <v>35</v>
      </c>
      <c r="D24" t="s">
        <v>19</v>
      </c>
      <c r="E24" t="s">
        <v>18</v>
      </c>
      <c r="F24">
        <v>1290</v>
      </c>
      <c r="G24" t="s">
        <v>20</v>
      </c>
      <c r="H24" t="s">
        <v>136</v>
      </c>
      <c r="I24" t="s">
        <v>137</v>
      </c>
      <c r="J24" t="s">
        <v>138</v>
      </c>
      <c r="K24" t="s">
        <v>139</v>
      </c>
      <c r="L24" s="1">
        <v>299</v>
      </c>
      <c r="M24" t="s">
        <v>25</v>
      </c>
      <c r="N24" t="s">
        <v>140</v>
      </c>
      <c r="O24" t="s">
        <v>27</v>
      </c>
      <c r="P24" t="s">
        <v>28</v>
      </c>
      <c r="Q24" t="str">
        <f>IF(Tabla1[[#This Row],[price]]&lt;20, "Low Cost",IF(Tabla1[[#This Row],[price]]&lt;=50, "Estándar", "Premium"))</f>
        <v>Premium</v>
      </c>
    </row>
    <row r="25" spans="1:17">
      <c r="A25">
        <v>129152</v>
      </c>
      <c r="B25" t="s">
        <v>34</v>
      </c>
      <c r="C25" t="s">
        <v>18</v>
      </c>
      <c r="D25" t="s">
        <v>19</v>
      </c>
      <c r="E25" t="s">
        <v>18</v>
      </c>
      <c r="F25">
        <v>2356</v>
      </c>
      <c r="G25" t="s">
        <v>20</v>
      </c>
      <c r="H25" t="s">
        <v>141</v>
      </c>
      <c r="I25" t="s">
        <v>142</v>
      </c>
      <c r="J25" t="s">
        <v>143</v>
      </c>
      <c r="K25" t="s">
        <v>144</v>
      </c>
      <c r="L25" s="1">
        <v>49.9</v>
      </c>
      <c r="M25" t="s">
        <v>25</v>
      </c>
      <c r="N25" t="s">
        <v>145</v>
      </c>
      <c r="O25" t="s">
        <v>27</v>
      </c>
      <c r="P25" t="s">
        <v>28</v>
      </c>
      <c r="Q25" t="str">
        <f>IF(Tabla1[[#This Row],[price]]&lt;20, "Low Cost",IF(Tabla1[[#This Row],[price]]&lt;=50, "Estándar", "Premium"))</f>
        <v>Estándar</v>
      </c>
    </row>
    <row r="26" spans="1:17">
      <c r="A26">
        <v>183243</v>
      </c>
      <c r="B26" t="s">
        <v>56</v>
      </c>
      <c r="C26" t="s">
        <v>35</v>
      </c>
      <c r="D26" t="s">
        <v>19</v>
      </c>
      <c r="E26" t="s">
        <v>18</v>
      </c>
      <c r="F26">
        <v>1524</v>
      </c>
      <c r="G26" t="s">
        <v>20</v>
      </c>
      <c r="H26" t="s">
        <v>146</v>
      </c>
      <c r="I26" t="s">
        <v>147</v>
      </c>
      <c r="J26" t="s">
        <v>148</v>
      </c>
      <c r="K26" t="s">
        <v>149</v>
      </c>
      <c r="L26" s="1">
        <v>169</v>
      </c>
      <c r="M26" t="s">
        <v>25</v>
      </c>
      <c r="N26" t="s">
        <v>150</v>
      </c>
      <c r="O26" t="s">
        <v>27</v>
      </c>
      <c r="P26" t="s">
        <v>28</v>
      </c>
      <c r="Q26" t="str">
        <f>IF(Tabla1[[#This Row],[price]]&lt;20, "Low Cost",IF(Tabla1[[#This Row],[price]]&lt;=50, "Estándar", "Premium"))</f>
        <v>Premium</v>
      </c>
    </row>
    <row r="27" spans="1:17">
      <c r="A27">
        <v>198248</v>
      </c>
      <c r="B27" t="s">
        <v>56</v>
      </c>
      <c r="C27" t="s">
        <v>35</v>
      </c>
      <c r="D27" t="s">
        <v>19</v>
      </c>
      <c r="E27" t="s">
        <v>18</v>
      </c>
      <c r="F27">
        <v>1644</v>
      </c>
      <c r="G27" t="s">
        <v>20</v>
      </c>
      <c r="H27" t="s">
        <v>151</v>
      </c>
      <c r="I27" t="s">
        <v>152</v>
      </c>
      <c r="J27" t="s">
        <v>153</v>
      </c>
      <c r="K27" t="s">
        <v>154</v>
      </c>
      <c r="L27" s="1">
        <v>69.900000000000006</v>
      </c>
      <c r="M27" t="s">
        <v>25</v>
      </c>
      <c r="N27" t="s">
        <v>155</v>
      </c>
      <c r="O27" t="s">
        <v>27</v>
      </c>
      <c r="P27" t="s">
        <v>28</v>
      </c>
      <c r="Q27" t="str">
        <f>IF(Tabla1[[#This Row],[price]]&lt;20, "Low Cost",IF(Tabla1[[#This Row],[price]]&lt;=50, "Estándar", "Premium"))</f>
        <v>Premium</v>
      </c>
    </row>
    <row r="28" spans="1:17">
      <c r="A28">
        <v>191230</v>
      </c>
      <c r="B28" t="s">
        <v>34</v>
      </c>
      <c r="C28" t="s">
        <v>18</v>
      </c>
      <c r="D28" t="s">
        <v>19</v>
      </c>
      <c r="E28" t="s">
        <v>18</v>
      </c>
      <c r="F28">
        <v>966</v>
      </c>
      <c r="G28" t="s">
        <v>20</v>
      </c>
      <c r="H28" t="s">
        <v>156</v>
      </c>
      <c r="I28" t="s">
        <v>157</v>
      </c>
      <c r="J28" t="s">
        <v>158</v>
      </c>
      <c r="K28" t="s">
        <v>159</v>
      </c>
      <c r="L28" s="1">
        <v>89.9</v>
      </c>
      <c r="M28" t="s">
        <v>25</v>
      </c>
      <c r="N28" t="s">
        <v>160</v>
      </c>
      <c r="O28" t="s">
        <v>27</v>
      </c>
      <c r="P28" t="s">
        <v>28</v>
      </c>
      <c r="Q28" t="str">
        <f>IF(Tabla1[[#This Row],[price]]&lt;20, "Low Cost",IF(Tabla1[[#This Row],[price]]&lt;=50, "Estándar", "Premium"))</f>
        <v>Premium</v>
      </c>
    </row>
    <row r="29" spans="1:17">
      <c r="A29">
        <v>187234</v>
      </c>
      <c r="B29" t="s">
        <v>56</v>
      </c>
      <c r="C29" t="s">
        <v>35</v>
      </c>
      <c r="D29" t="s">
        <v>19</v>
      </c>
      <c r="E29" t="s">
        <v>35</v>
      </c>
      <c r="F29">
        <v>2575</v>
      </c>
      <c r="G29" t="s">
        <v>20</v>
      </c>
      <c r="H29" t="s">
        <v>161</v>
      </c>
      <c r="I29" t="s">
        <v>162</v>
      </c>
      <c r="J29" t="s">
        <v>163</v>
      </c>
      <c r="K29" t="s">
        <v>164</v>
      </c>
      <c r="L29" s="1">
        <v>59.9</v>
      </c>
      <c r="M29" t="s">
        <v>25</v>
      </c>
      <c r="N29" t="s">
        <v>165</v>
      </c>
      <c r="O29" t="s">
        <v>27</v>
      </c>
      <c r="P29" t="s">
        <v>28</v>
      </c>
      <c r="Q29" t="str">
        <f>IF(Tabla1[[#This Row],[price]]&lt;20, "Low Cost",IF(Tabla1[[#This Row],[price]]&lt;=50, "Estándar", "Premium"))</f>
        <v>Premium</v>
      </c>
    </row>
    <row r="30" spans="1:17">
      <c r="A30">
        <v>148888</v>
      </c>
      <c r="B30" t="s">
        <v>56</v>
      </c>
      <c r="C30" t="s">
        <v>18</v>
      </c>
      <c r="D30" t="s">
        <v>19</v>
      </c>
      <c r="E30" t="s">
        <v>18</v>
      </c>
      <c r="F30">
        <v>2774</v>
      </c>
      <c r="G30" t="s">
        <v>20</v>
      </c>
      <c r="H30" t="s">
        <v>166</v>
      </c>
      <c r="I30" t="s">
        <v>167</v>
      </c>
      <c r="J30" t="s">
        <v>168</v>
      </c>
      <c r="K30" t="s">
        <v>169</v>
      </c>
      <c r="L30" s="1">
        <v>109</v>
      </c>
      <c r="M30" t="s">
        <v>25</v>
      </c>
      <c r="N30" t="s">
        <v>170</v>
      </c>
      <c r="O30" t="s">
        <v>27</v>
      </c>
      <c r="P30" t="s">
        <v>28</v>
      </c>
      <c r="Q30" t="str">
        <f>IF(Tabla1[[#This Row],[price]]&lt;20, "Low Cost",IF(Tabla1[[#This Row],[price]]&lt;=50, "Estándar", "Premium"))</f>
        <v>Premium</v>
      </c>
    </row>
    <row r="31" spans="1:17">
      <c r="A31">
        <v>110805</v>
      </c>
      <c r="B31" t="s">
        <v>56</v>
      </c>
      <c r="C31" t="s">
        <v>35</v>
      </c>
      <c r="D31" t="s">
        <v>19</v>
      </c>
      <c r="E31" t="s">
        <v>18</v>
      </c>
      <c r="F31">
        <v>2477</v>
      </c>
      <c r="G31" t="s">
        <v>20</v>
      </c>
      <c r="H31" t="s">
        <v>171</v>
      </c>
      <c r="I31" t="s">
        <v>172</v>
      </c>
      <c r="J31" t="s">
        <v>173</v>
      </c>
      <c r="K31" t="s">
        <v>174</v>
      </c>
      <c r="L31" s="1">
        <v>159</v>
      </c>
      <c r="M31" t="s">
        <v>25</v>
      </c>
      <c r="N31" t="s">
        <v>175</v>
      </c>
      <c r="O31" t="s">
        <v>27</v>
      </c>
      <c r="P31" t="s">
        <v>28</v>
      </c>
      <c r="Q31" t="str">
        <f>IF(Tabla1[[#This Row],[price]]&lt;20, "Low Cost",IF(Tabla1[[#This Row],[price]]&lt;=50, "Estándar", "Premium"))</f>
        <v>Premium</v>
      </c>
    </row>
    <row r="32" spans="1:17">
      <c r="A32">
        <v>179801</v>
      </c>
      <c r="B32" t="s">
        <v>56</v>
      </c>
      <c r="C32" t="s">
        <v>18</v>
      </c>
      <c r="D32" t="s">
        <v>19</v>
      </c>
      <c r="E32" t="s">
        <v>35</v>
      </c>
      <c r="F32">
        <v>2608</v>
      </c>
      <c r="G32" t="s">
        <v>20</v>
      </c>
      <c r="H32" t="s">
        <v>176</v>
      </c>
      <c r="I32" t="s">
        <v>177</v>
      </c>
      <c r="J32" t="s">
        <v>178</v>
      </c>
      <c r="K32" t="s">
        <v>179</v>
      </c>
      <c r="L32" s="1">
        <v>129</v>
      </c>
      <c r="M32" t="s">
        <v>25</v>
      </c>
      <c r="N32" t="s">
        <v>180</v>
      </c>
      <c r="O32" t="s">
        <v>27</v>
      </c>
      <c r="P32" t="s">
        <v>28</v>
      </c>
      <c r="Q32" t="str">
        <f>IF(Tabla1[[#This Row],[price]]&lt;20, "Low Cost",IF(Tabla1[[#This Row],[price]]&lt;=50, "Estándar", "Premium"))</f>
        <v>Premium</v>
      </c>
    </row>
    <row r="33" spans="1:17">
      <c r="A33">
        <v>134927</v>
      </c>
      <c r="B33" t="s">
        <v>17</v>
      </c>
      <c r="C33" t="s">
        <v>35</v>
      </c>
      <c r="D33" t="s">
        <v>19</v>
      </c>
      <c r="E33" t="s">
        <v>35</v>
      </c>
      <c r="F33">
        <v>2252</v>
      </c>
      <c r="G33" t="s">
        <v>20</v>
      </c>
      <c r="H33" t="s">
        <v>181</v>
      </c>
      <c r="I33" t="s">
        <v>182</v>
      </c>
      <c r="J33" t="s">
        <v>158</v>
      </c>
      <c r="K33" t="s">
        <v>183</v>
      </c>
      <c r="L33" s="1">
        <v>129</v>
      </c>
      <c r="M33" t="s">
        <v>25</v>
      </c>
      <c r="N33" t="s">
        <v>184</v>
      </c>
      <c r="O33" t="s">
        <v>27</v>
      </c>
      <c r="P33" t="s">
        <v>28</v>
      </c>
      <c r="Q33" t="str">
        <f>IF(Tabla1[[#This Row],[price]]&lt;20, "Low Cost",IF(Tabla1[[#This Row],[price]]&lt;=50, "Estándar", "Premium"))</f>
        <v>Premium</v>
      </c>
    </row>
    <row r="34" spans="1:17">
      <c r="A34">
        <v>123150</v>
      </c>
      <c r="B34" t="s">
        <v>34</v>
      </c>
      <c r="C34" t="s">
        <v>35</v>
      </c>
      <c r="D34" t="s">
        <v>19</v>
      </c>
      <c r="E34" t="s">
        <v>18</v>
      </c>
      <c r="F34">
        <v>2074</v>
      </c>
      <c r="G34" t="s">
        <v>20</v>
      </c>
      <c r="H34" t="s">
        <v>185</v>
      </c>
      <c r="I34" t="s">
        <v>186</v>
      </c>
      <c r="J34" t="s">
        <v>187</v>
      </c>
      <c r="K34" t="s">
        <v>188</v>
      </c>
      <c r="L34" s="1">
        <v>129</v>
      </c>
      <c r="M34" t="s">
        <v>25</v>
      </c>
      <c r="N34" t="s">
        <v>189</v>
      </c>
      <c r="O34" t="s">
        <v>27</v>
      </c>
      <c r="P34" t="s">
        <v>28</v>
      </c>
      <c r="Q34" t="str">
        <f>IF(Tabla1[[#This Row],[price]]&lt;20, "Low Cost",IF(Tabla1[[#This Row],[price]]&lt;=50, "Estándar", "Premium"))</f>
        <v>Premium</v>
      </c>
    </row>
    <row r="35" spans="1:17">
      <c r="A35">
        <v>159145</v>
      </c>
      <c r="B35" t="s">
        <v>34</v>
      </c>
      <c r="C35" t="s">
        <v>35</v>
      </c>
      <c r="D35" t="s">
        <v>19</v>
      </c>
      <c r="E35" t="s">
        <v>18</v>
      </c>
      <c r="F35">
        <v>2579</v>
      </c>
      <c r="G35" t="s">
        <v>20</v>
      </c>
      <c r="H35" t="s">
        <v>190</v>
      </c>
      <c r="I35" t="s">
        <v>191</v>
      </c>
      <c r="J35" t="s">
        <v>59</v>
      </c>
      <c r="K35" t="s">
        <v>192</v>
      </c>
      <c r="L35" s="1">
        <v>109</v>
      </c>
      <c r="M35" t="s">
        <v>25</v>
      </c>
      <c r="N35" t="s">
        <v>193</v>
      </c>
      <c r="O35" t="s">
        <v>27</v>
      </c>
      <c r="P35" t="s">
        <v>28</v>
      </c>
      <c r="Q35" t="str">
        <f>IF(Tabla1[[#This Row],[price]]&lt;20, "Low Cost",IF(Tabla1[[#This Row],[price]]&lt;=50, "Estándar", "Premium"))</f>
        <v>Premium</v>
      </c>
    </row>
    <row r="36" spans="1:17">
      <c r="A36">
        <v>172364</v>
      </c>
      <c r="B36" t="s">
        <v>17</v>
      </c>
      <c r="C36" t="s">
        <v>35</v>
      </c>
      <c r="D36" t="s">
        <v>19</v>
      </c>
      <c r="E36" t="s">
        <v>18</v>
      </c>
      <c r="F36">
        <v>2931</v>
      </c>
      <c r="G36" t="s">
        <v>20</v>
      </c>
      <c r="H36" t="s">
        <v>194</v>
      </c>
      <c r="I36" t="s">
        <v>195</v>
      </c>
      <c r="J36" t="s">
        <v>153</v>
      </c>
      <c r="K36" t="s">
        <v>196</v>
      </c>
      <c r="L36" s="1">
        <v>109</v>
      </c>
      <c r="M36" t="s">
        <v>25</v>
      </c>
      <c r="N36" t="s">
        <v>197</v>
      </c>
      <c r="O36" t="s">
        <v>27</v>
      </c>
      <c r="P36" t="s">
        <v>28</v>
      </c>
      <c r="Q36" t="str">
        <f>IF(Tabla1[[#This Row],[price]]&lt;20, "Low Cost",IF(Tabla1[[#This Row],[price]]&lt;=50, "Estándar", "Premium"))</f>
        <v>Premium</v>
      </c>
    </row>
    <row r="37" spans="1:17">
      <c r="A37">
        <v>178281</v>
      </c>
      <c r="B37" t="s">
        <v>34</v>
      </c>
      <c r="C37" t="s">
        <v>18</v>
      </c>
      <c r="D37" t="s">
        <v>19</v>
      </c>
      <c r="E37" t="s">
        <v>35</v>
      </c>
      <c r="F37">
        <v>1145</v>
      </c>
      <c r="G37" t="s">
        <v>20</v>
      </c>
      <c r="H37" t="s">
        <v>198</v>
      </c>
      <c r="I37" t="s">
        <v>199</v>
      </c>
      <c r="J37" t="s">
        <v>200</v>
      </c>
      <c r="K37" t="s">
        <v>201</v>
      </c>
      <c r="L37" s="1">
        <v>109</v>
      </c>
      <c r="M37" t="s">
        <v>25</v>
      </c>
      <c r="N37" t="s">
        <v>202</v>
      </c>
      <c r="O37" t="s">
        <v>27</v>
      </c>
      <c r="P37" t="s">
        <v>28</v>
      </c>
      <c r="Q37" t="str">
        <f>IF(Tabla1[[#This Row],[price]]&lt;20, "Low Cost",IF(Tabla1[[#This Row],[price]]&lt;=50, "Estándar", "Premium"))</f>
        <v>Premium</v>
      </c>
    </row>
    <row r="38" spans="1:17">
      <c r="A38">
        <v>194339</v>
      </c>
      <c r="B38" t="s">
        <v>34</v>
      </c>
      <c r="C38" t="s">
        <v>18</v>
      </c>
      <c r="D38" t="s">
        <v>19</v>
      </c>
      <c r="E38" t="s">
        <v>18</v>
      </c>
      <c r="F38">
        <v>1792</v>
      </c>
      <c r="G38" t="s">
        <v>20</v>
      </c>
      <c r="H38" t="s">
        <v>203</v>
      </c>
      <c r="I38" t="s">
        <v>204</v>
      </c>
      <c r="J38" t="s">
        <v>205</v>
      </c>
      <c r="K38" t="s">
        <v>206</v>
      </c>
      <c r="L38" s="1">
        <v>89.9</v>
      </c>
      <c r="M38" t="s">
        <v>25</v>
      </c>
      <c r="N38" t="s">
        <v>207</v>
      </c>
      <c r="O38" t="s">
        <v>27</v>
      </c>
      <c r="P38" t="s">
        <v>28</v>
      </c>
      <c r="Q38" t="str">
        <f>IF(Tabla1[[#This Row],[price]]&lt;20, "Low Cost",IF(Tabla1[[#This Row],[price]]&lt;=50, "Estándar", "Premium"))</f>
        <v>Premium</v>
      </c>
    </row>
    <row r="39" spans="1:17">
      <c r="A39">
        <v>174412</v>
      </c>
      <c r="B39" t="s">
        <v>17</v>
      </c>
      <c r="C39" t="s">
        <v>18</v>
      </c>
      <c r="D39" t="s">
        <v>19</v>
      </c>
      <c r="E39" t="s">
        <v>35</v>
      </c>
      <c r="F39">
        <v>1796</v>
      </c>
      <c r="G39" t="s">
        <v>20</v>
      </c>
      <c r="H39" t="s">
        <v>208</v>
      </c>
      <c r="I39" t="s">
        <v>209</v>
      </c>
      <c r="J39" t="s">
        <v>109</v>
      </c>
      <c r="K39" t="s">
        <v>210</v>
      </c>
      <c r="L39" s="1">
        <v>69.900000000000006</v>
      </c>
      <c r="M39" t="s">
        <v>25</v>
      </c>
      <c r="N39" t="s">
        <v>211</v>
      </c>
      <c r="O39" t="s">
        <v>27</v>
      </c>
      <c r="P39" t="s">
        <v>28</v>
      </c>
      <c r="Q39" t="str">
        <f>IF(Tabla1[[#This Row],[price]]&lt;20, "Low Cost",IF(Tabla1[[#This Row],[price]]&lt;=50, "Estándar", "Premium"))</f>
        <v>Premium</v>
      </c>
    </row>
    <row r="40" spans="1:17">
      <c r="A40">
        <v>114877</v>
      </c>
      <c r="B40" t="s">
        <v>17</v>
      </c>
      <c r="C40" t="s">
        <v>18</v>
      </c>
      <c r="D40" t="s">
        <v>19</v>
      </c>
      <c r="E40" t="s">
        <v>18</v>
      </c>
      <c r="F40">
        <v>1860</v>
      </c>
      <c r="G40" t="s">
        <v>20</v>
      </c>
      <c r="H40" t="s">
        <v>212</v>
      </c>
      <c r="I40" t="s">
        <v>213</v>
      </c>
      <c r="J40" t="s">
        <v>214</v>
      </c>
      <c r="K40" t="s">
        <v>215</v>
      </c>
      <c r="L40" s="1">
        <v>349</v>
      </c>
      <c r="M40" t="s">
        <v>25</v>
      </c>
      <c r="N40" t="s">
        <v>216</v>
      </c>
      <c r="O40" t="s">
        <v>27</v>
      </c>
      <c r="P40" t="s">
        <v>28</v>
      </c>
      <c r="Q40" t="str">
        <f>IF(Tabla1[[#This Row],[price]]&lt;20, "Low Cost",IF(Tabla1[[#This Row],[price]]&lt;=50, "Estándar", "Premium"))</f>
        <v>Premium</v>
      </c>
    </row>
    <row r="41" spans="1:17">
      <c r="A41">
        <v>140727</v>
      </c>
      <c r="B41" t="s">
        <v>34</v>
      </c>
      <c r="C41" t="s">
        <v>35</v>
      </c>
      <c r="D41" t="s">
        <v>19</v>
      </c>
      <c r="E41" t="s">
        <v>35</v>
      </c>
      <c r="F41">
        <v>1002</v>
      </c>
      <c r="G41" t="s">
        <v>20</v>
      </c>
      <c r="H41" t="s">
        <v>217</v>
      </c>
      <c r="I41" t="s">
        <v>218</v>
      </c>
      <c r="J41" t="s">
        <v>53</v>
      </c>
      <c r="K41" t="s">
        <v>219</v>
      </c>
      <c r="L41" s="1">
        <v>79.900000000000006</v>
      </c>
      <c r="M41" t="s">
        <v>25</v>
      </c>
      <c r="N41" t="s">
        <v>220</v>
      </c>
      <c r="O41" t="s">
        <v>27</v>
      </c>
      <c r="P41" t="s">
        <v>28</v>
      </c>
      <c r="Q41" t="str">
        <f>IF(Tabla1[[#This Row],[price]]&lt;20, "Low Cost",IF(Tabla1[[#This Row],[price]]&lt;=50, "Estándar", "Premium"))</f>
        <v>Premium</v>
      </c>
    </row>
    <row r="42" spans="1:17">
      <c r="A42">
        <v>133109</v>
      </c>
      <c r="B42" t="s">
        <v>56</v>
      </c>
      <c r="C42" t="s">
        <v>18</v>
      </c>
      <c r="D42" t="s">
        <v>19</v>
      </c>
      <c r="E42" t="s">
        <v>35</v>
      </c>
      <c r="F42">
        <v>2063</v>
      </c>
      <c r="G42" t="s">
        <v>20</v>
      </c>
      <c r="H42" t="s">
        <v>221</v>
      </c>
      <c r="I42" t="s">
        <v>222</v>
      </c>
      <c r="J42" t="s">
        <v>223</v>
      </c>
      <c r="K42" t="s">
        <v>224</v>
      </c>
      <c r="L42" s="1">
        <v>79.900000000000006</v>
      </c>
      <c r="M42" t="s">
        <v>25</v>
      </c>
      <c r="N42" t="s">
        <v>225</v>
      </c>
      <c r="O42" t="s">
        <v>27</v>
      </c>
      <c r="P42" t="s">
        <v>28</v>
      </c>
      <c r="Q42" t="str">
        <f>IF(Tabla1[[#This Row],[price]]&lt;20, "Low Cost",IF(Tabla1[[#This Row],[price]]&lt;=50, "Estándar", "Premium"))</f>
        <v>Premium</v>
      </c>
    </row>
    <row r="43" spans="1:17">
      <c r="A43">
        <v>127296</v>
      </c>
      <c r="B43" t="s">
        <v>17</v>
      </c>
      <c r="C43" t="s">
        <v>18</v>
      </c>
      <c r="D43" t="s">
        <v>19</v>
      </c>
      <c r="E43" t="s">
        <v>18</v>
      </c>
      <c r="F43">
        <v>1165</v>
      </c>
      <c r="G43" t="s">
        <v>20</v>
      </c>
      <c r="H43" t="s">
        <v>226</v>
      </c>
      <c r="I43" t="s">
        <v>227</v>
      </c>
      <c r="J43" t="s">
        <v>228</v>
      </c>
      <c r="K43" t="s">
        <v>229</v>
      </c>
      <c r="L43" s="1">
        <v>89.9</v>
      </c>
      <c r="M43" t="s">
        <v>25</v>
      </c>
      <c r="N43" t="s">
        <v>230</v>
      </c>
      <c r="O43" t="s">
        <v>27</v>
      </c>
      <c r="P43" t="s">
        <v>28</v>
      </c>
      <c r="Q43" t="str">
        <f>IF(Tabla1[[#This Row],[price]]&lt;20, "Low Cost",IF(Tabla1[[#This Row],[price]]&lt;=50, "Estándar", "Premium"))</f>
        <v>Premium</v>
      </c>
    </row>
    <row r="44" spans="1:17">
      <c r="A44">
        <v>133757</v>
      </c>
      <c r="B44" t="s">
        <v>17</v>
      </c>
      <c r="C44" t="s">
        <v>35</v>
      </c>
      <c r="D44" t="s">
        <v>19</v>
      </c>
      <c r="E44" t="s">
        <v>18</v>
      </c>
      <c r="F44">
        <v>2071</v>
      </c>
      <c r="G44" t="s">
        <v>20</v>
      </c>
      <c r="H44" t="s">
        <v>231</v>
      </c>
      <c r="I44" t="s">
        <v>232</v>
      </c>
      <c r="J44" t="s">
        <v>233</v>
      </c>
      <c r="K44" t="s">
        <v>234</v>
      </c>
      <c r="L44" s="1">
        <v>129</v>
      </c>
      <c r="M44" t="s">
        <v>25</v>
      </c>
      <c r="N44" t="s">
        <v>235</v>
      </c>
      <c r="O44" t="s">
        <v>27</v>
      </c>
      <c r="P44" t="s">
        <v>28</v>
      </c>
      <c r="Q44" t="str">
        <f>IF(Tabla1[[#This Row],[price]]&lt;20, "Low Cost",IF(Tabla1[[#This Row],[price]]&lt;=50, "Estándar", "Premium"))</f>
        <v>Premium</v>
      </c>
    </row>
    <row r="45" spans="1:17">
      <c r="A45">
        <v>111760</v>
      </c>
      <c r="B45" t="s">
        <v>34</v>
      </c>
      <c r="C45" t="s">
        <v>18</v>
      </c>
      <c r="D45" t="s">
        <v>19</v>
      </c>
      <c r="E45" t="s">
        <v>18</v>
      </c>
      <c r="F45">
        <v>1474</v>
      </c>
      <c r="G45" t="s">
        <v>20</v>
      </c>
      <c r="H45" t="s">
        <v>236</v>
      </c>
      <c r="I45" t="s">
        <v>237</v>
      </c>
      <c r="J45" t="s">
        <v>238</v>
      </c>
      <c r="K45" t="s">
        <v>239</v>
      </c>
      <c r="L45" s="1">
        <v>109</v>
      </c>
      <c r="M45" t="s">
        <v>25</v>
      </c>
      <c r="N45" t="s">
        <v>240</v>
      </c>
      <c r="O45" t="s">
        <v>27</v>
      </c>
      <c r="P45" t="s">
        <v>28</v>
      </c>
      <c r="Q45" t="str">
        <f>IF(Tabla1[[#This Row],[price]]&lt;20, "Low Cost",IF(Tabla1[[#This Row],[price]]&lt;=50, "Estándar", "Premium"))</f>
        <v>Premium</v>
      </c>
    </row>
    <row r="46" spans="1:17">
      <c r="A46">
        <v>198375</v>
      </c>
      <c r="B46" t="s">
        <v>34</v>
      </c>
      <c r="C46" t="s">
        <v>18</v>
      </c>
      <c r="D46" t="s">
        <v>19</v>
      </c>
      <c r="E46" t="s">
        <v>18</v>
      </c>
      <c r="F46">
        <v>2202</v>
      </c>
      <c r="G46" t="s">
        <v>20</v>
      </c>
      <c r="H46" t="s">
        <v>241</v>
      </c>
      <c r="I46" t="s">
        <v>242</v>
      </c>
      <c r="J46" t="s">
        <v>104</v>
      </c>
      <c r="K46" t="s">
        <v>243</v>
      </c>
      <c r="L46" s="1">
        <v>69.900000000000006</v>
      </c>
      <c r="M46" t="s">
        <v>25</v>
      </c>
      <c r="N46" t="s">
        <v>244</v>
      </c>
      <c r="O46" t="s">
        <v>27</v>
      </c>
      <c r="P46" t="s">
        <v>28</v>
      </c>
      <c r="Q46" t="str">
        <f>IF(Tabla1[[#This Row],[price]]&lt;20, "Low Cost",IF(Tabla1[[#This Row],[price]]&lt;=50, "Estándar", "Premium"))</f>
        <v>Premium</v>
      </c>
    </row>
    <row r="47" spans="1:17">
      <c r="A47">
        <v>168837</v>
      </c>
      <c r="B47" t="s">
        <v>17</v>
      </c>
      <c r="C47" t="s">
        <v>18</v>
      </c>
      <c r="D47" t="s">
        <v>19</v>
      </c>
      <c r="E47" t="s">
        <v>18</v>
      </c>
      <c r="F47">
        <v>665</v>
      </c>
      <c r="G47" t="s">
        <v>20</v>
      </c>
      <c r="H47" t="s">
        <v>245</v>
      </c>
      <c r="I47" t="s">
        <v>246</v>
      </c>
      <c r="J47" t="s">
        <v>205</v>
      </c>
      <c r="K47" t="s">
        <v>206</v>
      </c>
      <c r="L47" s="1">
        <v>89.9</v>
      </c>
      <c r="M47" t="s">
        <v>25</v>
      </c>
      <c r="N47" t="s">
        <v>247</v>
      </c>
      <c r="O47" t="s">
        <v>27</v>
      </c>
      <c r="P47" t="s">
        <v>28</v>
      </c>
      <c r="Q47" t="str">
        <f>IF(Tabla1[[#This Row],[price]]&lt;20, "Low Cost",IF(Tabla1[[#This Row],[price]]&lt;=50, "Estándar", "Premium"))</f>
        <v>Premium</v>
      </c>
    </row>
    <row r="48" spans="1:17">
      <c r="A48">
        <v>138505</v>
      </c>
      <c r="B48" t="s">
        <v>56</v>
      </c>
      <c r="C48" t="s">
        <v>18</v>
      </c>
      <c r="D48" t="s">
        <v>19</v>
      </c>
      <c r="E48" t="s">
        <v>18</v>
      </c>
      <c r="F48">
        <v>2478</v>
      </c>
      <c r="G48" t="s">
        <v>20</v>
      </c>
      <c r="H48" t="s">
        <v>248</v>
      </c>
      <c r="I48" t="s">
        <v>249</v>
      </c>
      <c r="J48" t="s">
        <v>250</v>
      </c>
      <c r="K48" t="s">
        <v>251</v>
      </c>
      <c r="L48" s="1">
        <v>69.900000000000006</v>
      </c>
      <c r="M48" t="s">
        <v>25</v>
      </c>
      <c r="N48" t="s">
        <v>252</v>
      </c>
      <c r="O48" t="s">
        <v>27</v>
      </c>
      <c r="P48" t="s">
        <v>28</v>
      </c>
      <c r="Q48" t="str">
        <f>IF(Tabla1[[#This Row],[price]]&lt;20, "Low Cost",IF(Tabla1[[#This Row],[price]]&lt;=50, "Estándar", "Premium"))</f>
        <v>Premium</v>
      </c>
    </row>
    <row r="49" spans="1:17">
      <c r="A49">
        <v>116228</v>
      </c>
      <c r="B49" t="s">
        <v>34</v>
      </c>
      <c r="C49" t="s">
        <v>35</v>
      </c>
      <c r="D49" t="s">
        <v>19</v>
      </c>
      <c r="E49" t="s">
        <v>18</v>
      </c>
      <c r="F49">
        <v>647</v>
      </c>
      <c r="G49" t="s">
        <v>20</v>
      </c>
      <c r="H49" t="s">
        <v>253</v>
      </c>
      <c r="I49" t="s">
        <v>254</v>
      </c>
      <c r="J49" t="s">
        <v>255</v>
      </c>
      <c r="K49" t="s">
        <v>256</v>
      </c>
      <c r="L49" s="1">
        <v>89.9</v>
      </c>
      <c r="M49" t="s">
        <v>25</v>
      </c>
      <c r="N49" t="s">
        <v>257</v>
      </c>
      <c r="O49" t="s">
        <v>27</v>
      </c>
      <c r="P49" t="s">
        <v>28</v>
      </c>
      <c r="Q49" t="str">
        <f>IF(Tabla1[[#This Row],[price]]&lt;20, "Low Cost",IF(Tabla1[[#This Row],[price]]&lt;=50, "Estándar", "Premium"))</f>
        <v>Premium</v>
      </c>
    </row>
    <row r="50" spans="1:17">
      <c r="A50">
        <v>167592</v>
      </c>
      <c r="B50" t="s">
        <v>56</v>
      </c>
      <c r="C50" t="s">
        <v>35</v>
      </c>
      <c r="D50" t="s">
        <v>19</v>
      </c>
      <c r="E50" t="s">
        <v>18</v>
      </c>
      <c r="F50">
        <v>707</v>
      </c>
      <c r="G50" t="s">
        <v>20</v>
      </c>
      <c r="H50" t="s">
        <v>258</v>
      </c>
      <c r="I50" t="s">
        <v>259</v>
      </c>
      <c r="J50" t="s">
        <v>260</v>
      </c>
      <c r="K50" t="s">
        <v>261</v>
      </c>
      <c r="L50" s="1">
        <v>89.9</v>
      </c>
      <c r="M50" t="s">
        <v>25</v>
      </c>
      <c r="N50" t="s">
        <v>262</v>
      </c>
      <c r="O50" t="s">
        <v>27</v>
      </c>
      <c r="P50" t="s">
        <v>28</v>
      </c>
      <c r="Q50" t="str">
        <f>IF(Tabla1[[#This Row],[price]]&lt;20, "Low Cost",IF(Tabla1[[#This Row],[price]]&lt;=50, "Estándar", "Premium"))</f>
        <v>Premium</v>
      </c>
    </row>
    <row r="51" spans="1:17">
      <c r="A51">
        <v>133100</v>
      </c>
      <c r="B51" t="s">
        <v>34</v>
      </c>
      <c r="C51" t="s">
        <v>35</v>
      </c>
      <c r="D51" t="s">
        <v>19</v>
      </c>
      <c r="E51" t="s">
        <v>18</v>
      </c>
      <c r="F51">
        <v>2729</v>
      </c>
      <c r="G51" t="s">
        <v>20</v>
      </c>
      <c r="H51" t="s">
        <v>263</v>
      </c>
      <c r="I51" t="s">
        <v>264</v>
      </c>
      <c r="J51" t="s">
        <v>265</v>
      </c>
      <c r="K51" t="s">
        <v>266</v>
      </c>
      <c r="L51" s="1">
        <v>89.9</v>
      </c>
      <c r="M51" t="s">
        <v>25</v>
      </c>
      <c r="N51" t="s">
        <v>267</v>
      </c>
      <c r="O51" t="s">
        <v>27</v>
      </c>
      <c r="P51" t="s">
        <v>28</v>
      </c>
      <c r="Q51" t="str">
        <f>IF(Tabla1[[#This Row],[price]]&lt;20, "Low Cost",IF(Tabla1[[#This Row],[price]]&lt;=50, "Estándar", "Premium"))</f>
        <v>Premium</v>
      </c>
    </row>
    <row r="52" spans="1:17">
      <c r="A52">
        <v>119955</v>
      </c>
      <c r="B52" t="s">
        <v>56</v>
      </c>
      <c r="C52" t="s">
        <v>18</v>
      </c>
      <c r="D52" t="s">
        <v>19</v>
      </c>
      <c r="E52" t="s">
        <v>18</v>
      </c>
      <c r="F52">
        <v>1590</v>
      </c>
      <c r="G52" t="s">
        <v>20</v>
      </c>
      <c r="H52" t="s">
        <v>268</v>
      </c>
      <c r="I52" t="s">
        <v>269</v>
      </c>
      <c r="J52" t="s">
        <v>200</v>
      </c>
      <c r="K52" t="s">
        <v>270</v>
      </c>
      <c r="L52" s="1">
        <v>89.9</v>
      </c>
      <c r="M52" t="s">
        <v>25</v>
      </c>
      <c r="N52" t="s">
        <v>271</v>
      </c>
      <c r="O52" t="s">
        <v>27</v>
      </c>
      <c r="P52" t="s">
        <v>28</v>
      </c>
      <c r="Q52" t="str">
        <f>IF(Tabla1[[#This Row],[price]]&lt;20, "Low Cost",IF(Tabla1[[#This Row],[price]]&lt;=50, "Estándar", "Premium"))</f>
        <v>Premium</v>
      </c>
    </row>
    <row r="53" spans="1:17">
      <c r="A53">
        <v>189349</v>
      </c>
      <c r="B53" t="s">
        <v>34</v>
      </c>
      <c r="C53" t="s">
        <v>35</v>
      </c>
      <c r="D53" t="s">
        <v>19</v>
      </c>
      <c r="E53" t="s">
        <v>18</v>
      </c>
      <c r="F53">
        <v>1245</v>
      </c>
      <c r="G53" t="s">
        <v>20</v>
      </c>
      <c r="H53" t="s">
        <v>272</v>
      </c>
      <c r="I53" t="s">
        <v>273</v>
      </c>
      <c r="J53" t="s">
        <v>274</v>
      </c>
      <c r="K53" t="s">
        <v>275</v>
      </c>
      <c r="L53" s="1">
        <v>89.9</v>
      </c>
      <c r="M53" t="s">
        <v>25</v>
      </c>
      <c r="N53" t="s">
        <v>276</v>
      </c>
      <c r="O53" t="s">
        <v>27</v>
      </c>
      <c r="P53" t="s">
        <v>28</v>
      </c>
      <c r="Q53" t="str">
        <f>IF(Tabla1[[#This Row],[price]]&lt;20, "Low Cost",IF(Tabla1[[#This Row],[price]]&lt;=50, "Estándar", "Premium"))</f>
        <v>Premium</v>
      </c>
    </row>
    <row r="54" spans="1:17">
      <c r="A54">
        <v>127478</v>
      </c>
      <c r="B54" t="s">
        <v>56</v>
      </c>
      <c r="C54" t="s">
        <v>18</v>
      </c>
      <c r="D54" t="s">
        <v>19</v>
      </c>
      <c r="E54" t="s">
        <v>35</v>
      </c>
      <c r="F54">
        <v>2498</v>
      </c>
      <c r="G54" t="s">
        <v>20</v>
      </c>
      <c r="H54" t="s">
        <v>277</v>
      </c>
      <c r="I54" t="s">
        <v>278</v>
      </c>
      <c r="J54" t="s">
        <v>279</v>
      </c>
      <c r="K54" t="s">
        <v>280</v>
      </c>
      <c r="L54" s="1">
        <v>129</v>
      </c>
      <c r="M54" t="s">
        <v>25</v>
      </c>
      <c r="N54" t="s">
        <v>281</v>
      </c>
      <c r="O54" t="s">
        <v>27</v>
      </c>
      <c r="P54" t="s">
        <v>28</v>
      </c>
      <c r="Q54" t="str">
        <f>IF(Tabla1[[#This Row],[price]]&lt;20, "Low Cost",IF(Tabla1[[#This Row],[price]]&lt;=50, "Estándar", "Premium"))</f>
        <v>Premium</v>
      </c>
    </row>
    <row r="55" spans="1:17">
      <c r="A55">
        <v>180661</v>
      </c>
      <c r="B55" t="s">
        <v>56</v>
      </c>
      <c r="C55" t="s">
        <v>18</v>
      </c>
      <c r="D55" t="s">
        <v>19</v>
      </c>
      <c r="E55" t="s">
        <v>35</v>
      </c>
      <c r="F55">
        <v>1041</v>
      </c>
      <c r="G55" t="s">
        <v>20</v>
      </c>
      <c r="H55" t="s">
        <v>282</v>
      </c>
      <c r="I55" t="s">
        <v>283</v>
      </c>
      <c r="J55" t="s">
        <v>284</v>
      </c>
      <c r="K55" t="s">
        <v>285</v>
      </c>
      <c r="L55" s="1">
        <v>129</v>
      </c>
      <c r="M55" t="s">
        <v>25</v>
      </c>
      <c r="N55" t="s">
        <v>286</v>
      </c>
      <c r="O55" t="s">
        <v>27</v>
      </c>
      <c r="P55" t="s">
        <v>28</v>
      </c>
      <c r="Q55" t="str">
        <f>IF(Tabla1[[#This Row],[price]]&lt;20, "Low Cost",IF(Tabla1[[#This Row],[price]]&lt;=50, "Estándar", "Premium"))</f>
        <v>Premium</v>
      </c>
    </row>
    <row r="56" spans="1:17">
      <c r="A56">
        <v>186681</v>
      </c>
      <c r="B56" t="s">
        <v>34</v>
      </c>
      <c r="C56" t="s">
        <v>18</v>
      </c>
      <c r="D56" t="s">
        <v>19</v>
      </c>
      <c r="E56" t="s">
        <v>35</v>
      </c>
      <c r="F56">
        <v>1717</v>
      </c>
      <c r="G56" t="s">
        <v>20</v>
      </c>
      <c r="H56" t="s">
        <v>287</v>
      </c>
      <c r="I56" t="s">
        <v>288</v>
      </c>
      <c r="J56" t="s">
        <v>289</v>
      </c>
      <c r="K56" t="s">
        <v>290</v>
      </c>
      <c r="L56" s="1">
        <v>19.989999999999998</v>
      </c>
      <c r="M56" t="s">
        <v>25</v>
      </c>
      <c r="N56" t="s">
        <v>291</v>
      </c>
      <c r="O56" t="s">
        <v>27</v>
      </c>
      <c r="P56" t="s">
        <v>28</v>
      </c>
      <c r="Q56" t="str">
        <f>IF(Tabla1[[#This Row],[price]]&lt;20, "Low Cost",IF(Tabla1[[#This Row],[price]]&lt;=50, "Estándar", "Premium"))</f>
        <v>Low Cost</v>
      </c>
    </row>
    <row r="57" spans="1:17">
      <c r="A57">
        <v>133183</v>
      </c>
      <c r="B57" t="s">
        <v>56</v>
      </c>
      <c r="C57" t="s">
        <v>35</v>
      </c>
      <c r="D57" t="s">
        <v>19</v>
      </c>
      <c r="E57" t="s">
        <v>35</v>
      </c>
      <c r="F57">
        <v>2859</v>
      </c>
      <c r="G57" t="s">
        <v>20</v>
      </c>
      <c r="H57" t="s">
        <v>292</v>
      </c>
      <c r="I57" t="s">
        <v>293</v>
      </c>
      <c r="J57" t="s">
        <v>294</v>
      </c>
      <c r="K57" t="s">
        <v>295</v>
      </c>
      <c r="L57" s="1">
        <v>89.9</v>
      </c>
      <c r="M57" t="s">
        <v>25</v>
      </c>
      <c r="N57" t="s">
        <v>296</v>
      </c>
      <c r="O57" t="s">
        <v>27</v>
      </c>
      <c r="P57" t="s">
        <v>28</v>
      </c>
      <c r="Q57" t="str">
        <f>IF(Tabla1[[#This Row],[price]]&lt;20, "Low Cost",IF(Tabla1[[#This Row],[price]]&lt;=50, "Estándar", "Premium"))</f>
        <v>Premium</v>
      </c>
    </row>
    <row r="58" spans="1:17">
      <c r="A58">
        <v>173508</v>
      </c>
      <c r="B58" t="s">
        <v>17</v>
      </c>
      <c r="C58" t="s">
        <v>35</v>
      </c>
      <c r="D58" t="s">
        <v>19</v>
      </c>
      <c r="E58" t="s">
        <v>18</v>
      </c>
      <c r="F58">
        <v>1658</v>
      </c>
      <c r="G58" t="s">
        <v>20</v>
      </c>
      <c r="H58" t="s">
        <v>297</v>
      </c>
      <c r="I58" t="s">
        <v>298</v>
      </c>
      <c r="J58" t="s">
        <v>299</v>
      </c>
      <c r="K58" t="s">
        <v>300</v>
      </c>
      <c r="L58" s="1">
        <v>129</v>
      </c>
      <c r="M58" t="s">
        <v>25</v>
      </c>
      <c r="N58" t="s">
        <v>301</v>
      </c>
      <c r="O58" t="s">
        <v>27</v>
      </c>
      <c r="P58" t="s">
        <v>28</v>
      </c>
      <c r="Q58" t="str">
        <f>IF(Tabla1[[#This Row],[price]]&lt;20, "Low Cost",IF(Tabla1[[#This Row],[price]]&lt;=50, "Estándar", "Premium"))</f>
        <v>Premium</v>
      </c>
    </row>
    <row r="59" spans="1:17">
      <c r="A59">
        <v>187930</v>
      </c>
      <c r="B59" t="s">
        <v>34</v>
      </c>
      <c r="C59" t="s">
        <v>18</v>
      </c>
      <c r="D59" t="s">
        <v>19</v>
      </c>
      <c r="E59" t="s">
        <v>35</v>
      </c>
      <c r="F59">
        <v>706</v>
      </c>
      <c r="G59" t="s">
        <v>20</v>
      </c>
      <c r="H59" t="s">
        <v>302</v>
      </c>
      <c r="I59" t="s">
        <v>303</v>
      </c>
      <c r="J59" t="s">
        <v>304</v>
      </c>
      <c r="K59" t="s">
        <v>305</v>
      </c>
      <c r="L59" s="1">
        <v>89.9</v>
      </c>
      <c r="M59" t="s">
        <v>25</v>
      </c>
      <c r="N59" t="s">
        <v>306</v>
      </c>
      <c r="O59" t="s">
        <v>27</v>
      </c>
      <c r="P59" t="s">
        <v>28</v>
      </c>
      <c r="Q59" t="str">
        <f>IF(Tabla1[[#This Row],[price]]&lt;20, "Low Cost",IF(Tabla1[[#This Row],[price]]&lt;=50, "Estándar", "Premium"))</f>
        <v>Premium</v>
      </c>
    </row>
    <row r="60" spans="1:17">
      <c r="A60">
        <v>124088</v>
      </c>
      <c r="B60" t="s">
        <v>34</v>
      </c>
      <c r="C60" t="s">
        <v>35</v>
      </c>
      <c r="D60" t="s">
        <v>19</v>
      </c>
      <c r="E60" t="s">
        <v>35</v>
      </c>
      <c r="F60">
        <v>2065</v>
      </c>
      <c r="G60" t="s">
        <v>20</v>
      </c>
      <c r="H60" t="s">
        <v>307</v>
      </c>
      <c r="I60" t="s">
        <v>308</v>
      </c>
      <c r="J60" t="s">
        <v>309</v>
      </c>
      <c r="K60" t="s">
        <v>310</v>
      </c>
      <c r="L60" s="1">
        <v>79.900000000000006</v>
      </c>
      <c r="M60" t="s">
        <v>25</v>
      </c>
      <c r="N60" t="s">
        <v>311</v>
      </c>
      <c r="O60" t="s">
        <v>27</v>
      </c>
      <c r="P60" t="s">
        <v>28</v>
      </c>
      <c r="Q60" t="str">
        <f>IF(Tabla1[[#This Row],[price]]&lt;20, "Low Cost",IF(Tabla1[[#This Row],[price]]&lt;=50, "Estándar", "Premium"))</f>
        <v>Premium</v>
      </c>
    </row>
    <row r="61" spans="1:17">
      <c r="A61">
        <v>190238</v>
      </c>
      <c r="B61" t="s">
        <v>56</v>
      </c>
      <c r="C61" t="s">
        <v>18</v>
      </c>
      <c r="D61" t="s">
        <v>19</v>
      </c>
      <c r="E61" t="s">
        <v>35</v>
      </c>
      <c r="F61">
        <v>1917</v>
      </c>
      <c r="G61" t="s">
        <v>20</v>
      </c>
      <c r="H61" t="s">
        <v>312</v>
      </c>
      <c r="I61" t="s">
        <v>313</v>
      </c>
      <c r="J61" t="s">
        <v>314</v>
      </c>
      <c r="K61" t="s">
        <v>315</v>
      </c>
      <c r="L61" s="1">
        <v>89.9</v>
      </c>
      <c r="M61" t="s">
        <v>25</v>
      </c>
      <c r="N61" t="s">
        <v>316</v>
      </c>
      <c r="O61" t="s">
        <v>27</v>
      </c>
      <c r="P61" t="s">
        <v>28</v>
      </c>
      <c r="Q61" t="str">
        <f>IF(Tabla1[[#This Row],[price]]&lt;20, "Low Cost",IF(Tabla1[[#This Row],[price]]&lt;=50, "Estándar", "Premium"))</f>
        <v>Premium</v>
      </c>
    </row>
    <row r="62" spans="1:17">
      <c r="A62">
        <v>163234</v>
      </c>
      <c r="B62" t="s">
        <v>56</v>
      </c>
      <c r="C62" t="s">
        <v>18</v>
      </c>
      <c r="D62" t="s">
        <v>19</v>
      </c>
      <c r="E62" t="s">
        <v>18</v>
      </c>
      <c r="F62">
        <v>1633</v>
      </c>
      <c r="G62" t="s">
        <v>20</v>
      </c>
      <c r="H62" t="s">
        <v>317</v>
      </c>
      <c r="I62" t="s">
        <v>318</v>
      </c>
      <c r="J62" t="s">
        <v>319</v>
      </c>
      <c r="K62" t="s">
        <v>320</v>
      </c>
      <c r="L62" s="1">
        <v>89.9</v>
      </c>
      <c r="M62" t="s">
        <v>25</v>
      </c>
      <c r="N62" t="s">
        <v>321</v>
      </c>
      <c r="O62" t="s">
        <v>27</v>
      </c>
      <c r="P62" t="s">
        <v>28</v>
      </c>
      <c r="Q62" t="str">
        <f>IF(Tabla1[[#This Row],[price]]&lt;20, "Low Cost",IF(Tabla1[[#This Row],[price]]&lt;=50, "Estándar", "Premium"))</f>
        <v>Premium</v>
      </c>
    </row>
    <row r="63" spans="1:17">
      <c r="A63">
        <v>135610</v>
      </c>
      <c r="B63" t="s">
        <v>17</v>
      </c>
      <c r="C63" t="s">
        <v>35</v>
      </c>
      <c r="D63" t="s">
        <v>19</v>
      </c>
      <c r="E63" t="s">
        <v>35</v>
      </c>
      <c r="F63">
        <v>1513</v>
      </c>
      <c r="G63" t="s">
        <v>20</v>
      </c>
      <c r="H63" t="s">
        <v>322</v>
      </c>
      <c r="I63" t="s">
        <v>323</v>
      </c>
      <c r="J63" t="s">
        <v>324</v>
      </c>
      <c r="K63" t="s">
        <v>325</v>
      </c>
      <c r="L63" s="1">
        <v>109</v>
      </c>
      <c r="M63" t="s">
        <v>25</v>
      </c>
      <c r="N63" t="s">
        <v>326</v>
      </c>
      <c r="O63" t="s">
        <v>27</v>
      </c>
      <c r="P63" t="s">
        <v>28</v>
      </c>
      <c r="Q63" t="str">
        <f>IF(Tabla1[[#This Row],[price]]&lt;20, "Low Cost",IF(Tabla1[[#This Row],[price]]&lt;=50, "Estándar", "Premium"))</f>
        <v>Premium</v>
      </c>
    </row>
    <row r="64" spans="1:17">
      <c r="A64">
        <v>117065</v>
      </c>
      <c r="B64" t="s">
        <v>17</v>
      </c>
      <c r="C64" t="s">
        <v>35</v>
      </c>
      <c r="D64" t="s">
        <v>19</v>
      </c>
      <c r="E64" t="s">
        <v>35</v>
      </c>
      <c r="F64">
        <v>758</v>
      </c>
      <c r="G64" t="s">
        <v>20</v>
      </c>
      <c r="H64" t="s">
        <v>327</v>
      </c>
      <c r="I64" t="s">
        <v>328</v>
      </c>
      <c r="J64" t="s">
        <v>329</v>
      </c>
      <c r="K64" t="s">
        <v>330</v>
      </c>
      <c r="L64" s="1">
        <v>109</v>
      </c>
      <c r="M64" t="s">
        <v>25</v>
      </c>
      <c r="N64" t="s">
        <v>331</v>
      </c>
      <c r="O64" t="s">
        <v>27</v>
      </c>
      <c r="P64" t="s">
        <v>28</v>
      </c>
      <c r="Q64" t="str">
        <f>IF(Tabla1[[#This Row],[price]]&lt;20, "Low Cost",IF(Tabla1[[#This Row],[price]]&lt;=50, "Estándar", "Premium"))</f>
        <v>Premium</v>
      </c>
    </row>
    <row r="65" spans="1:17">
      <c r="A65">
        <v>149315</v>
      </c>
      <c r="B65" t="s">
        <v>34</v>
      </c>
      <c r="C65" t="s">
        <v>35</v>
      </c>
      <c r="D65" t="s">
        <v>19</v>
      </c>
      <c r="E65" t="s">
        <v>18</v>
      </c>
      <c r="F65">
        <v>718</v>
      </c>
      <c r="G65" t="s">
        <v>20</v>
      </c>
      <c r="H65" t="s">
        <v>332</v>
      </c>
      <c r="I65" t="s">
        <v>333</v>
      </c>
      <c r="J65" t="s">
        <v>334</v>
      </c>
      <c r="K65" t="s">
        <v>335</v>
      </c>
      <c r="L65" s="1">
        <v>109</v>
      </c>
      <c r="M65" t="s">
        <v>25</v>
      </c>
      <c r="N65" t="s">
        <v>336</v>
      </c>
      <c r="O65" t="s">
        <v>27</v>
      </c>
      <c r="P65" t="s">
        <v>28</v>
      </c>
      <c r="Q65" t="str">
        <f>IF(Tabla1[[#This Row],[price]]&lt;20, "Low Cost",IF(Tabla1[[#This Row],[price]]&lt;=50, "Estándar", "Premium"))</f>
        <v>Premium</v>
      </c>
    </row>
    <row r="66" spans="1:17">
      <c r="A66">
        <v>149510</v>
      </c>
      <c r="B66" t="s">
        <v>17</v>
      </c>
      <c r="C66" t="s">
        <v>18</v>
      </c>
      <c r="D66" t="s">
        <v>19</v>
      </c>
      <c r="E66" t="s">
        <v>35</v>
      </c>
      <c r="F66">
        <v>1412</v>
      </c>
      <c r="G66" t="s">
        <v>20</v>
      </c>
      <c r="H66" t="s">
        <v>337</v>
      </c>
      <c r="I66" t="s">
        <v>338</v>
      </c>
      <c r="J66" t="s">
        <v>339</v>
      </c>
      <c r="K66" t="s">
        <v>340</v>
      </c>
      <c r="L66" s="1">
        <v>59.9</v>
      </c>
      <c r="M66" t="s">
        <v>25</v>
      </c>
      <c r="N66" t="s">
        <v>341</v>
      </c>
      <c r="O66" t="s">
        <v>27</v>
      </c>
      <c r="P66" t="s">
        <v>28</v>
      </c>
      <c r="Q66" t="str">
        <f>IF(Tabla1[[#This Row],[price]]&lt;20, "Low Cost",IF(Tabla1[[#This Row],[price]]&lt;=50, "Estándar", "Premium"))</f>
        <v>Premium</v>
      </c>
    </row>
    <row r="67" spans="1:17">
      <c r="A67">
        <v>137990</v>
      </c>
      <c r="B67" t="s">
        <v>17</v>
      </c>
      <c r="C67" t="s">
        <v>18</v>
      </c>
      <c r="D67" t="s">
        <v>19</v>
      </c>
      <c r="E67" t="s">
        <v>18</v>
      </c>
      <c r="F67">
        <v>2929</v>
      </c>
      <c r="G67" t="s">
        <v>20</v>
      </c>
      <c r="H67" t="s">
        <v>342</v>
      </c>
      <c r="I67" t="s">
        <v>343</v>
      </c>
      <c r="J67" t="s">
        <v>344</v>
      </c>
      <c r="K67" t="s">
        <v>345</v>
      </c>
      <c r="L67" s="1">
        <v>29.99</v>
      </c>
      <c r="M67" t="s">
        <v>25</v>
      </c>
      <c r="N67" t="s">
        <v>346</v>
      </c>
      <c r="O67" t="s">
        <v>27</v>
      </c>
      <c r="P67" t="s">
        <v>28</v>
      </c>
      <c r="Q67" t="str">
        <f>IF(Tabla1[[#This Row],[price]]&lt;20, "Low Cost",IF(Tabla1[[#This Row],[price]]&lt;=50, "Estándar", "Premium"))</f>
        <v>Estándar</v>
      </c>
    </row>
    <row r="68" spans="1:17">
      <c r="A68">
        <v>154016</v>
      </c>
      <c r="B68" t="s">
        <v>34</v>
      </c>
      <c r="C68" t="s">
        <v>35</v>
      </c>
      <c r="D68" t="s">
        <v>19</v>
      </c>
      <c r="E68" t="s">
        <v>35</v>
      </c>
      <c r="F68">
        <v>2366</v>
      </c>
      <c r="G68" t="s">
        <v>20</v>
      </c>
      <c r="H68" t="s">
        <v>347</v>
      </c>
      <c r="I68" t="s">
        <v>348</v>
      </c>
      <c r="J68" t="s">
        <v>349</v>
      </c>
      <c r="K68" t="s">
        <v>350</v>
      </c>
      <c r="L68" s="1">
        <v>189</v>
      </c>
      <c r="M68" t="s">
        <v>25</v>
      </c>
      <c r="N68" t="s">
        <v>351</v>
      </c>
      <c r="O68" t="s">
        <v>27</v>
      </c>
      <c r="P68" t="s">
        <v>28</v>
      </c>
      <c r="Q68" t="str">
        <f>IF(Tabla1[[#This Row],[price]]&lt;20, "Low Cost",IF(Tabla1[[#This Row],[price]]&lt;=50, "Estándar", "Premium"))</f>
        <v>Premium</v>
      </c>
    </row>
    <row r="69" spans="1:17">
      <c r="A69">
        <v>117751</v>
      </c>
      <c r="B69" t="s">
        <v>17</v>
      </c>
      <c r="C69" t="s">
        <v>18</v>
      </c>
      <c r="D69" t="s">
        <v>19</v>
      </c>
      <c r="E69" t="s">
        <v>18</v>
      </c>
      <c r="F69">
        <v>2749</v>
      </c>
      <c r="G69" t="s">
        <v>20</v>
      </c>
      <c r="H69" t="s">
        <v>352</v>
      </c>
      <c r="I69" t="s">
        <v>353</v>
      </c>
      <c r="J69" t="s">
        <v>354</v>
      </c>
      <c r="K69" t="s">
        <v>355</v>
      </c>
      <c r="L69" s="1">
        <v>89.9</v>
      </c>
      <c r="M69" t="s">
        <v>25</v>
      </c>
      <c r="N69" t="s">
        <v>356</v>
      </c>
      <c r="O69" t="s">
        <v>27</v>
      </c>
      <c r="P69" t="s">
        <v>28</v>
      </c>
      <c r="Q69" t="str">
        <f>IF(Tabla1[[#This Row],[price]]&lt;20, "Low Cost",IF(Tabla1[[#This Row],[price]]&lt;=50, "Estándar", "Premium"))</f>
        <v>Premium</v>
      </c>
    </row>
    <row r="70" spans="1:17">
      <c r="A70">
        <v>182362</v>
      </c>
      <c r="B70" t="s">
        <v>56</v>
      </c>
      <c r="C70" t="s">
        <v>18</v>
      </c>
      <c r="D70" t="s">
        <v>19</v>
      </c>
      <c r="E70" t="s">
        <v>18</v>
      </c>
      <c r="F70">
        <v>2019</v>
      </c>
      <c r="G70" t="s">
        <v>20</v>
      </c>
      <c r="H70" t="s">
        <v>357</v>
      </c>
      <c r="I70" t="s">
        <v>358</v>
      </c>
      <c r="J70" t="s">
        <v>359</v>
      </c>
      <c r="K70" t="s">
        <v>360</v>
      </c>
      <c r="L70" s="1">
        <v>69.900000000000006</v>
      </c>
      <c r="M70" t="s">
        <v>25</v>
      </c>
      <c r="N70" t="s">
        <v>361</v>
      </c>
      <c r="O70" t="s">
        <v>27</v>
      </c>
      <c r="P70" t="s">
        <v>28</v>
      </c>
      <c r="Q70" t="str">
        <f>IF(Tabla1[[#This Row],[price]]&lt;20, "Low Cost",IF(Tabla1[[#This Row],[price]]&lt;=50, "Estándar", "Premium"))</f>
        <v>Premium</v>
      </c>
    </row>
    <row r="71" spans="1:17">
      <c r="A71">
        <v>117725</v>
      </c>
      <c r="B71" t="s">
        <v>17</v>
      </c>
      <c r="C71" t="s">
        <v>18</v>
      </c>
      <c r="D71" t="s">
        <v>19</v>
      </c>
      <c r="E71" t="s">
        <v>35</v>
      </c>
      <c r="F71">
        <v>1506</v>
      </c>
      <c r="G71" t="s">
        <v>20</v>
      </c>
      <c r="H71" t="s">
        <v>362</v>
      </c>
      <c r="I71" t="s">
        <v>363</v>
      </c>
      <c r="J71" t="s">
        <v>364</v>
      </c>
      <c r="K71" t="s">
        <v>365</v>
      </c>
      <c r="L71" s="1">
        <v>109</v>
      </c>
      <c r="M71" t="s">
        <v>25</v>
      </c>
      <c r="N71" t="s">
        <v>366</v>
      </c>
      <c r="O71" t="s">
        <v>27</v>
      </c>
      <c r="P71" t="s">
        <v>28</v>
      </c>
      <c r="Q71" t="str">
        <f>IF(Tabla1[[#This Row],[price]]&lt;20, "Low Cost",IF(Tabla1[[#This Row],[price]]&lt;=50, "Estándar", "Premium"))</f>
        <v>Premium</v>
      </c>
    </row>
    <row r="72" spans="1:17">
      <c r="A72">
        <v>145289</v>
      </c>
      <c r="B72" t="s">
        <v>34</v>
      </c>
      <c r="C72" t="s">
        <v>18</v>
      </c>
      <c r="D72" t="s">
        <v>19</v>
      </c>
      <c r="E72" t="s">
        <v>18</v>
      </c>
      <c r="F72">
        <v>1012</v>
      </c>
      <c r="G72" t="s">
        <v>20</v>
      </c>
      <c r="H72" t="s">
        <v>367</v>
      </c>
      <c r="I72" t="s">
        <v>368</v>
      </c>
      <c r="J72" t="s">
        <v>369</v>
      </c>
      <c r="K72" t="s">
        <v>370</v>
      </c>
      <c r="L72" s="1">
        <v>109</v>
      </c>
      <c r="M72" t="s">
        <v>25</v>
      </c>
      <c r="N72" t="s">
        <v>371</v>
      </c>
      <c r="O72" t="s">
        <v>27</v>
      </c>
      <c r="P72" t="s">
        <v>28</v>
      </c>
      <c r="Q72" t="str">
        <f>IF(Tabla1[[#This Row],[price]]&lt;20, "Low Cost",IF(Tabla1[[#This Row],[price]]&lt;=50, "Estándar", "Premium"))</f>
        <v>Premium</v>
      </c>
    </row>
    <row r="73" spans="1:17">
      <c r="A73">
        <v>175059</v>
      </c>
      <c r="B73" t="s">
        <v>17</v>
      </c>
      <c r="C73" t="s">
        <v>35</v>
      </c>
      <c r="D73" t="s">
        <v>19</v>
      </c>
      <c r="E73" t="s">
        <v>18</v>
      </c>
      <c r="F73">
        <v>2170</v>
      </c>
      <c r="G73" t="s">
        <v>20</v>
      </c>
      <c r="H73" t="s">
        <v>372</v>
      </c>
      <c r="I73" t="s">
        <v>373</v>
      </c>
      <c r="J73" t="s">
        <v>143</v>
      </c>
      <c r="K73" t="s">
        <v>144</v>
      </c>
      <c r="L73" s="1">
        <v>49.9</v>
      </c>
      <c r="M73" t="s">
        <v>25</v>
      </c>
      <c r="N73" t="s">
        <v>374</v>
      </c>
      <c r="O73" t="s">
        <v>27</v>
      </c>
      <c r="P73" t="s">
        <v>28</v>
      </c>
      <c r="Q73" t="str">
        <f>IF(Tabla1[[#This Row],[price]]&lt;20, "Low Cost",IF(Tabla1[[#This Row],[price]]&lt;=50, "Estándar", "Premium"))</f>
        <v>Estándar</v>
      </c>
    </row>
    <row r="74" spans="1:17">
      <c r="A74">
        <v>199368</v>
      </c>
      <c r="B74" t="s">
        <v>56</v>
      </c>
      <c r="C74" t="s">
        <v>18</v>
      </c>
      <c r="D74" t="s">
        <v>19</v>
      </c>
      <c r="E74" t="s">
        <v>35</v>
      </c>
      <c r="F74">
        <v>1061</v>
      </c>
      <c r="G74" t="s">
        <v>20</v>
      </c>
      <c r="H74" t="s">
        <v>375</v>
      </c>
      <c r="I74" t="s">
        <v>376</v>
      </c>
      <c r="J74" t="s">
        <v>324</v>
      </c>
      <c r="K74" t="s">
        <v>377</v>
      </c>
      <c r="L74" s="1">
        <v>139</v>
      </c>
      <c r="M74" t="s">
        <v>25</v>
      </c>
      <c r="N74" t="s">
        <v>378</v>
      </c>
      <c r="O74" t="s">
        <v>27</v>
      </c>
      <c r="P74" t="s">
        <v>28</v>
      </c>
      <c r="Q74" t="str">
        <f>IF(Tabla1[[#This Row],[price]]&lt;20, "Low Cost",IF(Tabla1[[#This Row],[price]]&lt;=50, "Estándar", "Premium"))</f>
        <v>Premium</v>
      </c>
    </row>
    <row r="75" spans="1:17">
      <c r="A75">
        <v>162883</v>
      </c>
      <c r="B75" t="s">
        <v>56</v>
      </c>
      <c r="C75" t="s">
        <v>35</v>
      </c>
      <c r="D75" t="s">
        <v>19</v>
      </c>
      <c r="E75" t="s">
        <v>18</v>
      </c>
      <c r="F75">
        <v>786</v>
      </c>
      <c r="G75" t="s">
        <v>20</v>
      </c>
      <c r="H75" t="s">
        <v>379</v>
      </c>
      <c r="I75" t="s">
        <v>380</v>
      </c>
      <c r="J75" t="s">
        <v>381</v>
      </c>
      <c r="K75" t="s">
        <v>382</v>
      </c>
      <c r="L75" s="1">
        <v>139</v>
      </c>
      <c r="M75" t="s">
        <v>25</v>
      </c>
      <c r="N75" t="s">
        <v>383</v>
      </c>
      <c r="O75" t="s">
        <v>27</v>
      </c>
      <c r="P75" t="s">
        <v>28</v>
      </c>
      <c r="Q75" t="str">
        <f>IF(Tabla1[[#This Row],[price]]&lt;20, "Low Cost",IF(Tabla1[[#This Row],[price]]&lt;=50, "Estándar", "Premium"))</f>
        <v>Premium</v>
      </c>
    </row>
    <row r="76" spans="1:17">
      <c r="A76">
        <v>135490</v>
      </c>
      <c r="B76" t="s">
        <v>56</v>
      </c>
      <c r="C76" t="s">
        <v>18</v>
      </c>
      <c r="D76" t="s">
        <v>19</v>
      </c>
      <c r="E76" t="s">
        <v>18</v>
      </c>
      <c r="F76">
        <v>1094</v>
      </c>
      <c r="G76" t="s">
        <v>20</v>
      </c>
      <c r="H76" t="s">
        <v>384</v>
      </c>
      <c r="I76" t="s">
        <v>385</v>
      </c>
      <c r="J76" t="s">
        <v>386</v>
      </c>
      <c r="K76" t="s">
        <v>387</v>
      </c>
      <c r="L76" s="1">
        <v>139</v>
      </c>
      <c r="M76" t="s">
        <v>25</v>
      </c>
      <c r="N76" t="s">
        <v>388</v>
      </c>
      <c r="O76" t="s">
        <v>27</v>
      </c>
      <c r="P76" t="s">
        <v>28</v>
      </c>
      <c r="Q76" t="str">
        <f>IF(Tabla1[[#This Row],[price]]&lt;20, "Low Cost",IF(Tabla1[[#This Row],[price]]&lt;=50, "Estándar", "Premium"))</f>
        <v>Premium</v>
      </c>
    </row>
    <row r="77" spans="1:17">
      <c r="A77">
        <v>125408</v>
      </c>
      <c r="B77" t="s">
        <v>34</v>
      </c>
      <c r="C77" t="s">
        <v>35</v>
      </c>
      <c r="D77" t="s">
        <v>19</v>
      </c>
      <c r="E77" t="s">
        <v>35</v>
      </c>
      <c r="F77">
        <v>2220</v>
      </c>
      <c r="G77" t="s">
        <v>20</v>
      </c>
      <c r="H77" t="s">
        <v>389</v>
      </c>
      <c r="I77" t="s">
        <v>390</v>
      </c>
      <c r="J77" t="s">
        <v>178</v>
      </c>
      <c r="K77" t="s">
        <v>179</v>
      </c>
      <c r="L77" s="1">
        <v>89.9</v>
      </c>
      <c r="M77" t="s">
        <v>25</v>
      </c>
      <c r="N77" t="s">
        <v>391</v>
      </c>
      <c r="O77" t="s">
        <v>27</v>
      </c>
      <c r="P77" t="s">
        <v>28</v>
      </c>
      <c r="Q77" t="str">
        <f>IF(Tabla1[[#This Row],[price]]&lt;20, "Low Cost",IF(Tabla1[[#This Row],[price]]&lt;=50, "Estándar", "Premium"))</f>
        <v>Premium</v>
      </c>
    </row>
    <row r="78" spans="1:17">
      <c r="A78">
        <v>134763</v>
      </c>
      <c r="B78" t="s">
        <v>56</v>
      </c>
      <c r="C78" t="s">
        <v>18</v>
      </c>
      <c r="D78" t="s">
        <v>19</v>
      </c>
      <c r="E78" t="s">
        <v>35</v>
      </c>
      <c r="F78">
        <v>2048</v>
      </c>
      <c r="G78" t="s">
        <v>20</v>
      </c>
      <c r="H78" t="s">
        <v>392</v>
      </c>
      <c r="I78" t="s">
        <v>393</v>
      </c>
      <c r="J78" t="s">
        <v>394</v>
      </c>
      <c r="K78" t="s">
        <v>395</v>
      </c>
      <c r="L78" s="1">
        <v>89.9</v>
      </c>
      <c r="M78" t="s">
        <v>25</v>
      </c>
      <c r="N78" t="s">
        <v>396</v>
      </c>
      <c r="O78" t="s">
        <v>27</v>
      </c>
      <c r="P78" t="s">
        <v>28</v>
      </c>
      <c r="Q78" t="str">
        <f>IF(Tabla1[[#This Row],[price]]&lt;20, "Low Cost",IF(Tabla1[[#This Row],[price]]&lt;=50, "Estándar", "Premium"))</f>
        <v>Premium</v>
      </c>
    </row>
    <row r="79" spans="1:17">
      <c r="A79">
        <v>143231</v>
      </c>
      <c r="B79" t="s">
        <v>17</v>
      </c>
      <c r="C79" t="s">
        <v>18</v>
      </c>
      <c r="D79" t="s">
        <v>19</v>
      </c>
      <c r="E79" t="s">
        <v>18</v>
      </c>
      <c r="F79">
        <v>2578</v>
      </c>
      <c r="G79" t="s">
        <v>20</v>
      </c>
      <c r="H79" t="s">
        <v>397</v>
      </c>
      <c r="I79" t="s">
        <v>398</v>
      </c>
      <c r="J79" t="s">
        <v>381</v>
      </c>
      <c r="K79" t="s">
        <v>399</v>
      </c>
      <c r="L79" s="1">
        <v>89.9</v>
      </c>
      <c r="M79" t="s">
        <v>25</v>
      </c>
      <c r="N79" t="s">
        <v>400</v>
      </c>
      <c r="O79" t="s">
        <v>27</v>
      </c>
      <c r="P79" t="s">
        <v>28</v>
      </c>
      <c r="Q79" t="str">
        <f>IF(Tabla1[[#This Row],[price]]&lt;20, "Low Cost",IF(Tabla1[[#This Row],[price]]&lt;=50, "Estándar", "Premium"))</f>
        <v>Premium</v>
      </c>
    </row>
    <row r="80" spans="1:17">
      <c r="A80">
        <v>125409</v>
      </c>
      <c r="B80" t="s">
        <v>34</v>
      </c>
      <c r="C80" t="s">
        <v>35</v>
      </c>
      <c r="D80" t="s">
        <v>19</v>
      </c>
      <c r="E80" t="s">
        <v>18</v>
      </c>
      <c r="F80">
        <v>2040</v>
      </c>
      <c r="G80" t="s">
        <v>20</v>
      </c>
      <c r="H80" t="s">
        <v>401</v>
      </c>
      <c r="I80" t="s">
        <v>402</v>
      </c>
      <c r="J80" t="s">
        <v>403</v>
      </c>
      <c r="K80" t="s">
        <v>404</v>
      </c>
      <c r="L80" s="1">
        <v>89.9</v>
      </c>
      <c r="M80" t="s">
        <v>25</v>
      </c>
      <c r="N80" t="s">
        <v>405</v>
      </c>
      <c r="O80" t="s">
        <v>27</v>
      </c>
      <c r="P80" t="s">
        <v>28</v>
      </c>
      <c r="Q80" t="str">
        <f>IF(Tabla1[[#This Row],[price]]&lt;20, "Low Cost",IF(Tabla1[[#This Row],[price]]&lt;=50, "Estándar", "Premium"))</f>
        <v>Premium</v>
      </c>
    </row>
    <row r="81" spans="1:17">
      <c r="A81">
        <v>183074</v>
      </c>
      <c r="B81" t="s">
        <v>17</v>
      </c>
      <c r="C81" t="s">
        <v>18</v>
      </c>
      <c r="D81" t="s">
        <v>19</v>
      </c>
      <c r="E81" t="s">
        <v>18</v>
      </c>
      <c r="F81">
        <v>2791</v>
      </c>
      <c r="G81" t="s">
        <v>20</v>
      </c>
      <c r="H81" t="s">
        <v>406</v>
      </c>
      <c r="I81" t="s">
        <v>407</v>
      </c>
      <c r="J81" t="s">
        <v>408</v>
      </c>
      <c r="K81" t="s">
        <v>409</v>
      </c>
      <c r="L81" s="1">
        <v>89.9</v>
      </c>
      <c r="M81" t="s">
        <v>25</v>
      </c>
      <c r="N81" t="s">
        <v>410</v>
      </c>
      <c r="O81" t="s">
        <v>27</v>
      </c>
      <c r="P81" t="s">
        <v>28</v>
      </c>
      <c r="Q81" t="str">
        <f>IF(Tabla1[[#This Row],[price]]&lt;20, "Low Cost",IF(Tabla1[[#This Row],[price]]&lt;=50, "Estándar", "Premium"))</f>
        <v>Premium</v>
      </c>
    </row>
    <row r="82" spans="1:17">
      <c r="A82">
        <v>147947</v>
      </c>
      <c r="B82" t="s">
        <v>17</v>
      </c>
      <c r="C82" t="s">
        <v>35</v>
      </c>
      <c r="D82" t="s">
        <v>19</v>
      </c>
      <c r="E82" t="s">
        <v>35</v>
      </c>
      <c r="F82">
        <v>1249</v>
      </c>
      <c r="G82" t="s">
        <v>20</v>
      </c>
      <c r="H82" t="s">
        <v>411</v>
      </c>
      <c r="I82" t="s">
        <v>412</v>
      </c>
      <c r="J82" t="s">
        <v>413</v>
      </c>
      <c r="K82" t="s">
        <v>414</v>
      </c>
      <c r="L82" s="1">
        <v>89.9</v>
      </c>
      <c r="M82" t="s">
        <v>25</v>
      </c>
      <c r="N82" t="s">
        <v>415</v>
      </c>
      <c r="O82" t="s">
        <v>27</v>
      </c>
      <c r="P82" t="s">
        <v>28</v>
      </c>
      <c r="Q82" t="str">
        <f>IF(Tabla1[[#This Row],[price]]&lt;20, "Low Cost",IF(Tabla1[[#This Row],[price]]&lt;=50, "Estándar", "Premium"))</f>
        <v>Premium</v>
      </c>
    </row>
    <row r="83" spans="1:17">
      <c r="A83">
        <v>174171</v>
      </c>
      <c r="B83" t="s">
        <v>56</v>
      </c>
      <c r="C83" t="s">
        <v>35</v>
      </c>
      <c r="D83" t="s">
        <v>19</v>
      </c>
      <c r="E83" t="s">
        <v>35</v>
      </c>
      <c r="F83">
        <v>2273</v>
      </c>
      <c r="G83" t="s">
        <v>20</v>
      </c>
      <c r="H83" t="s">
        <v>416</v>
      </c>
      <c r="I83" t="s">
        <v>417</v>
      </c>
      <c r="J83" t="s">
        <v>418</v>
      </c>
      <c r="K83" t="s">
        <v>419</v>
      </c>
      <c r="L83" s="1">
        <v>89.9</v>
      </c>
      <c r="M83" t="s">
        <v>25</v>
      </c>
      <c r="N83" t="s">
        <v>420</v>
      </c>
      <c r="O83" t="s">
        <v>27</v>
      </c>
      <c r="P83" t="s">
        <v>28</v>
      </c>
      <c r="Q83" t="str">
        <f>IF(Tabla1[[#This Row],[price]]&lt;20, "Low Cost",IF(Tabla1[[#This Row],[price]]&lt;=50, "Estándar", "Premium"))</f>
        <v>Premium</v>
      </c>
    </row>
    <row r="84" spans="1:17">
      <c r="A84">
        <v>183064</v>
      </c>
      <c r="B84" t="s">
        <v>56</v>
      </c>
      <c r="C84" t="s">
        <v>35</v>
      </c>
      <c r="D84" t="s">
        <v>19</v>
      </c>
      <c r="E84" t="s">
        <v>18</v>
      </c>
      <c r="F84">
        <v>1773</v>
      </c>
      <c r="G84" t="s">
        <v>20</v>
      </c>
      <c r="H84" t="s">
        <v>421</v>
      </c>
      <c r="I84" t="s">
        <v>422</v>
      </c>
      <c r="J84" t="s">
        <v>423</v>
      </c>
      <c r="K84" t="s">
        <v>424</v>
      </c>
      <c r="L84" s="1">
        <v>89.9</v>
      </c>
      <c r="M84" t="s">
        <v>25</v>
      </c>
      <c r="N84" t="s">
        <v>425</v>
      </c>
      <c r="O84" t="s">
        <v>27</v>
      </c>
      <c r="P84" t="s">
        <v>28</v>
      </c>
      <c r="Q84" t="str">
        <f>IF(Tabla1[[#This Row],[price]]&lt;20, "Low Cost",IF(Tabla1[[#This Row],[price]]&lt;=50, "Estándar", "Premium"))</f>
        <v>Premium</v>
      </c>
    </row>
    <row r="85" spans="1:17">
      <c r="A85">
        <v>177131</v>
      </c>
      <c r="B85" t="s">
        <v>17</v>
      </c>
      <c r="C85" t="s">
        <v>35</v>
      </c>
      <c r="D85" t="s">
        <v>19</v>
      </c>
      <c r="E85" t="s">
        <v>35</v>
      </c>
      <c r="F85">
        <v>1733</v>
      </c>
      <c r="G85" t="s">
        <v>20</v>
      </c>
      <c r="H85" t="s">
        <v>426</v>
      </c>
      <c r="I85" t="s">
        <v>427</v>
      </c>
      <c r="J85" t="s">
        <v>428</v>
      </c>
      <c r="K85" t="s">
        <v>429</v>
      </c>
      <c r="L85" s="1">
        <v>69.900000000000006</v>
      </c>
      <c r="M85" t="s">
        <v>25</v>
      </c>
      <c r="N85" t="s">
        <v>430</v>
      </c>
      <c r="O85" t="s">
        <v>27</v>
      </c>
      <c r="P85" t="s">
        <v>28</v>
      </c>
      <c r="Q85" t="str">
        <f>IF(Tabla1[[#This Row],[price]]&lt;20, "Low Cost",IF(Tabla1[[#This Row],[price]]&lt;=50, "Estándar", "Premium"))</f>
        <v>Premium</v>
      </c>
    </row>
    <row r="86" spans="1:17">
      <c r="A86">
        <v>128179</v>
      </c>
      <c r="B86" t="s">
        <v>34</v>
      </c>
      <c r="C86" t="s">
        <v>35</v>
      </c>
      <c r="D86" t="s">
        <v>19</v>
      </c>
      <c r="E86" t="s">
        <v>18</v>
      </c>
      <c r="F86">
        <v>2060</v>
      </c>
      <c r="G86" t="s">
        <v>20</v>
      </c>
      <c r="H86" t="s">
        <v>431</v>
      </c>
      <c r="I86" t="s">
        <v>432</v>
      </c>
      <c r="J86" t="s">
        <v>433</v>
      </c>
      <c r="K86" t="s">
        <v>434</v>
      </c>
      <c r="L86" s="1">
        <v>89.9</v>
      </c>
      <c r="M86" t="s">
        <v>25</v>
      </c>
      <c r="N86" t="s">
        <v>435</v>
      </c>
      <c r="O86" t="s">
        <v>27</v>
      </c>
      <c r="P86" t="s">
        <v>28</v>
      </c>
      <c r="Q86" t="str">
        <f>IF(Tabla1[[#This Row],[price]]&lt;20, "Low Cost",IF(Tabla1[[#This Row],[price]]&lt;=50, "Estándar", "Premium"))</f>
        <v>Premium</v>
      </c>
    </row>
    <row r="87" spans="1:17">
      <c r="A87">
        <v>152723</v>
      </c>
      <c r="B87" t="s">
        <v>17</v>
      </c>
      <c r="C87" t="s">
        <v>18</v>
      </c>
      <c r="D87" t="s">
        <v>19</v>
      </c>
      <c r="E87" t="s">
        <v>35</v>
      </c>
      <c r="F87">
        <v>2849</v>
      </c>
      <c r="G87" t="s">
        <v>20</v>
      </c>
      <c r="H87" t="s">
        <v>436</v>
      </c>
      <c r="I87" t="s">
        <v>437</v>
      </c>
      <c r="J87" t="s">
        <v>438</v>
      </c>
      <c r="K87" t="s">
        <v>439</v>
      </c>
      <c r="L87" s="1">
        <v>169</v>
      </c>
      <c r="M87" t="s">
        <v>25</v>
      </c>
      <c r="N87" t="s">
        <v>440</v>
      </c>
      <c r="O87" t="s">
        <v>27</v>
      </c>
      <c r="P87" t="s">
        <v>28</v>
      </c>
      <c r="Q87" t="str">
        <f>IF(Tabla1[[#This Row],[price]]&lt;20, "Low Cost",IF(Tabla1[[#This Row],[price]]&lt;=50, "Estándar", "Premium"))</f>
        <v>Premium</v>
      </c>
    </row>
    <row r="88" spans="1:17">
      <c r="A88">
        <v>123824</v>
      </c>
      <c r="B88" t="s">
        <v>17</v>
      </c>
      <c r="C88" t="s">
        <v>35</v>
      </c>
      <c r="D88" t="s">
        <v>19</v>
      </c>
      <c r="E88" t="s">
        <v>18</v>
      </c>
      <c r="F88">
        <v>2277</v>
      </c>
      <c r="G88" t="s">
        <v>20</v>
      </c>
      <c r="H88" t="s">
        <v>441</v>
      </c>
      <c r="I88" t="s">
        <v>442</v>
      </c>
      <c r="J88" t="s">
        <v>443</v>
      </c>
      <c r="K88" t="s">
        <v>444</v>
      </c>
      <c r="L88" s="1">
        <v>169</v>
      </c>
      <c r="M88" t="s">
        <v>25</v>
      </c>
      <c r="N88" t="s">
        <v>445</v>
      </c>
      <c r="O88" t="s">
        <v>27</v>
      </c>
      <c r="P88" t="s">
        <v>28</v>
      </c>
      <c r="Q88" t="str">
        <f>IF(Tabla1[[#This Row],[price]]&lt;20, "Low Cost",IF(Tabla1[[#This Row],[price]]&lt;=50, "Estándar", "Premium"))</f>
        <v>Premium</v>
      </c>
    </row>
    <row r="89" spans="1:17">
      <c r="A89">
        <v>166345</v>
      </c>
      <c r="B89" t="s">
        <v>17</v>
      </c>
      <c r="C89" t="s">
        <v>18</v>
      </c>
      <c r="D89" t="s">
        <v>19</v>
      </c>
      <c r="E89" t="s">
        <v>35</v>
      </c>
      <c r="F89">
        <v>1135</v>
      </c>
      <c r="G89" t="s">
        <v>20</v>
      </c>
      <c r="H89" t="s">
        <v>446</v>
      </c>
      <c r="I89" t="s">
        <v>447</v>
      </c>
      <c r="J89" t="s">
        <v>448</v>
      </c>
      <c r="K89" t="s">
        <v>449</v>
      </c>
      <c r="L89" s="1">
        <v>69.900000000000006</v>
      </c>
      <c r="M89" t="s">
        <v>25</v>
      </c>
      <c r="N89" t="s">
        <v>450</v>
      </c>
      <c r="O89" t="s">
        <v>27</v>
      </c>
      <c r="P89" t="s">
        <v>28</v>
      </c>
      <c r="Q89" t="str">
        <f>IF(Tabla1[[#This Row],[price]]&lt;20, "Low Cost",IF(Tabla1[[#This Row],[price]]&lt;=50, "Estándar", "Premium"))</f>
        <v>Premium</v>
      </c>
    </row>
    <row r="90" spans="1:17">
      <c r="A90">
        <v>199279</v>
      </c>
      <c r="B90" t="s">
        <v>17</v>
      </c>
      <c r="C90" t="s">
        <v>18</v>
      </c>
      <c r="D90" t="s">
        <v>19</v>
      </c>
      <c r="E90" t="s">
        <v>18</v>
      </c>
      <c r="F90">
        <v>1770</v>
      </c>
      <c r="G90" t="s">
        <v>20</v>
      </c>
      <c r="H90" t="s">
        <v>451</v>
      </c>
      <c r="I90" t="s">
        <v>452</v>
      </c>
      <c r="J90" t="s">
        <v>453</v>
      </c>
      <c r="K90" t="s">
        <v>454</v>
      </c>
      <c r="L90" s="1">
        <v>19.989999999999998</v>
      </c>
      <c r="M90" t="s">
        <v>25</v>
      </c>
      <c r="N90" t="s">
        <v>455</v>
      </c>
      <c r="O90" t="s">
        <v>27</v>
      </c>
      <c r="P90" t="s">
        <v>28</v>
      </c>
      <c r="Q90" t="str">
        <f>IF(Tabla1[[#This Row],[price]]&lt;20, "Low Cost",IF(Tabla1[[#This Row],[price]]&lt;=50, "Estándar", "Premium"))</f>
        <v>Low Cost</v>
      </c>
    </row>
    <row r="91" spans="1:17">
      <c r="A91">
        <v>167981</v>
      </c>
      <c r="B91" t="s">
        <v>34</v>
      </c>
      <c r="C91" t="s">
        <v>18</v>
      </c>
      <c r="D91" t="s">
        <v>19</v>
      </c>
      <c r="E91" t="s">
        <v>18</v>
      </c>
      <c r="F91">
        <v>730</v>
      </c>
      <c r="G91" t="s">
        <v>20</v>
      </c>
      <c r="H91" t="s">
        <v>456</v>
      </c>
      <c r="I91" t="s">
        <v>457</v>
      </c>
      <c r="J91" t="s">
        <v>458</v>
      </c>
      <c r="K91" t="s">
        <v>459</v>
      </c>
      <c r="L91" s="1">
        <v>139</v>
      </c>
      <c r="M91" t="s">
        <v>25</v>
      </c>
      <c r="N91" t="s">
        <v>460</v>
      </c>
      <c r="O91" t="s">
        <v>27</v>
      </c>
      <c r="P91" t="s">
        <v>28</v>
      </c>
      <c r="Q91" t="str">
        <f>IF(Tabla1[[#This Row],[price]]&lt;20, "Low Cost",IF(Tabla1[[#This Row],[price]]&lt;=50, "Estándar", "Premium"))</f>
        <v>Premium</v>
      </c>
    </row>
    <row r="92" spans="1:17">
      <c r="A92">
        <v>146839</v>
      </c>
      <c r="B92" t="s">
        <v>17</v>
      </c>
      <c r="C92" t="s">
        <v>18</v>
      </c>
      <c r="D92" t="s">
        <v>19</v>
      </c>
      <c r="E92" t="s">
        <v>18</v>
      </c>
      <c r="F92">
        <v>1525</v>
      </c>
      <c r="G92" t="s">
        <v>20</v>
      </c>
      <c r="H92" t="s">
        <v>461</v>
      </c>
      <c r="I92" t="s">
        <v>462</v>
      </c>
      <c r="J92" t="s">
        <v>200</v>
      </c>
      <c r="K92" t="s">
        <v>463</v>
      </c>
      <c r="L92" s="1">
        <v>109</v>
      </c>
      <c r="M92" t="s">
        <v>25</v>
      </c>
      <c r="N92" t="s">
        <v>464</v>
      </c>
      <c r="O92" t="s">
        <v>27</v>
      </c>
      <c r="P92" t="s">
        <v>28</v>
      </c>
      <c r="Q92" t="str">
        <f>IF(Tabla1[[#This Row],[price]]&lt;20, "Low Cost",IF(Tabla1[[#This Row],[price]]&lt;=50, "Estándar", "Premium"))</f>
        <v>Premium</v>
      </c>
    </row>
    <row r="93" spans="1:17">
      <c r="A93">
        <v>187180</v>
      </c>
      <c r="B93" t="s">
        <v>56</v>
      </c>
      <c r="C93" t="s">
        <v>18</v>
      </c>
      <c r="D93" t="s">
        <v>19</v>
      </c>
      <c r="E93" t="s">
        <v>35</v>
      </c>
      <c r="F93">
        <v>647</v>
      </c>
      <c r="G93" t="s">
        <v>20</v>
      </c>
      <c r="H93" t="s">
        <v>465</v>
      </c>
      <c r="I93" t="s">
        <v>466</v>
      </c>
      <c r="J93" t="s">
        <v>453</v>
      </c>
      <c r="K93" t="s">
        <v>467</v>
      </c>
      <c r="L93" s="1">
        <v>109</v>
      </c>
      <c r="M93" t="s">
        <v>25</v>
      </c>
      <c r="N93" t="s">
        <v>468</v>
      </c>
      <c r="O93" t="s">
        <v>27</v>
      </c>
      <c r="P93" t="s">
        <v>28</v>
      </c>
      <c r="Q93" t="str">
        <f>IF(Tabla1[[#This Row],[price]]&lt;20, "Low Cost",IF(Tabla1[[#This Row],[price]]&lt;=50, "Estándar", "Premium"))</f>
        <v>Premium</v>
      </c>
    </row>
    <row r="94" spans="1:17">
      <c r="A94">
        <v>167640</v>
      </c>
      <c r="B94" t="s">
        <v>34</v>
      </c>
      <c r="C94" t="s">
        <v>35</v>
      </c>
      <c r="D94" t="s">
        <v>19</v>
      </c>
      <c r="E94" t="s">
        <v>35</v>
      </c>
      <c r="F94">
        <v>1017</v>
      </c>
      <c r="G94" t="s">
        <v>20</v>
      </c>
      <c r="H94" t="s">
        <v>469</v>
      </c>
      <c r="I94" t="s">
        <v>470</v>
      </c>
      <c r="J94" t="s">
        <v>453</v>
      </c>
      <c r="K94" t="s">
        <v>471</v>
      </c>
      <c r="L94" s="1">
        <v>109</v>
      </c>
      <c r="M94" t="s">
        <v>25</v>
      </c>
      <c r="N94" t="s">
        <v>472</v>
      </c>
      <c r="O94" t="s">
        <v>27</v>
      </c>
      <c r="P94" t="s">
        <v>28</v>
      </c>
      <c r="Q94" t="str">
        <f>IF(Tabla1[[#This Row],[price]]&lt;20, "Low Cost",IF(Tabla1[[#This Row],[price]]&lt;=50, "Estándar", "Premium"))</f>
        <v>Premium</v>
      </c>
    </row>
    <row r="95" spans="1:17">
      <c r="A95">
        <v>165158</v>
      </c>
      <c r="B95" t="s">
        <v>56</v>
      </c>
      <c r="C95" t="s">
        <v>18</v>
      </c>
      <c r="D95" t="s">
        <v>19</v>
      </c>
      <c r="E95" t="s">
        <v>18</v>
      </c>
      <c r="F95">
        <v>1622</v>
      </c>
      <c r="G95" t="s">
        <v>20</v>
      </c>
      <c r="H95" t="s">
        <v>473</v>
      </c>
      <c r="I95" t="s">
        <v>474</v>
      </c>
      <c r="J95" t="s">
        <v>475</v>
      </c>
      <c r="K95" t="s">
        <v>476</v>
      </c>
      <c r="L95" s="1">
        <v>109</v>
      </c>
      <c r="M95" t="s">
        <v>25</v>
      </c>
      <c r="N95" t="s">
        <v>477</v>
      </c>
      <c r="O95" t="s">
        <v>27</v>
      </c>
      <c r="P95" t="s">
        <v>28</v>
      </c>
      <c r="Q95" t="str">
        <f>IF(Tabla1[[#This Row],[price]]&lt;20, "Low Cost",IF(Tabla1[[#This Row],[price]]&lt;=50, "Estándar", "Premium"))</f>
        <v>Premium</v>
      </c>
    </row>
    <row r="96" spans="1:17">
      <c r="A96">
        <v>111521</v>
      </c>
      <c r="B96" t="s">
        <v>56</v>
      </c>
      <c r="C96" t="s">
        <v>35</v>
      </c>
      <c r="D96" t="s">
        <v>19</v>
      </c>
      <c r="E96" t="s">
        <v>35</v>
      </c>
      <c r="F96">
        <v>2553</v>
      </c>
      <c r="G96" t="s">
        <v>20</v>
      </c>
      <c r="H96" t="s">
        <v>478</v>
      </c>
      <c r="I96" t="s">
        <v>479</v>
      </c>
      <c r="J96" t="s">
        <v>480</v>
      </c>
      <c r="K96" t="s">
        <v>481</v>
      </c>
      <c r="L96" s="1">
        <v>99.9</v>
      </c>
      <c r="M96" t="s">
        <v>25</v>
      </c>
      <c r="N96" t="s">
        <v>482</v>
      </c>
      <c r="O96" t="s">
        <v>27</v>
      </c>
      <c r="P96" t="s">
        <v>28</v>
      </c>
      <c r="Q96" t="str">
        <f>IF(Tabla1[[#This Row],[price]]&lt;20, "Low Cost",IF(Tabla1[[#This Row],[price]]&lt;=50, "Estándar", "Premium"))</f>
        <v>Premium</v>
      </c>
    </row>
    <row r="97" spans="1:17">
      <c r="A97">
        <v>120228</v>
      </c>
      <c r="B97" t="s">
        <v>34</v>
      </c>
      <c r="C97" t="s">
        <v>18</v>
      </c>
      <c r="D97" t="s">
        <v>19</v>
      </c>
      <c r="E97" t="s">
        <v>18</v>
      </c>
      <c r="F97">
        <v>2347</v>
      </c>
      <c r="G97" t="s">
        <v>20</v>
      </c>
      <c r="H97" t="s">
        <v>483</v>
      </c>
      <c r="I97" t="s">
        <v>484</v>
      </c>
      <c r="J97" t="s">
        <v>74</v>
      </c>
      <c r="K97" t="s">
        <v>485</v>
      </c>
      <c r="L97" s="1">
        <v>89.9</v>
      </c>
      <c r="M97" t="s">
        <v>25</v>
      </c>
      <c r="N97" t="s">
        <v>486</v>
      </c>
      <c r="O97" t="s">
        <v>27</v>
      </c>
      <c r="P97" t="s">
        <v>28</v>
      </c>
      <c r="Q97" t="str">
        <f>IF(Tabla1[[#This Row],[price]]&lt;20, "Low Cost",IF(Tabla1[[#This Row],[price]]&lt;=50, "Estándar", "Premium"))</f>
        <v>Premium</v>
      </c>
    </row>
    <row r="98" spans="1:17">
      <c r="A98">
        <v>133078</v>
      </c>
      <c r="B98" t="s">
        <v>17</v>
      </c>
      <c r="C98" t="s">
        <v>18</v>
      </c>
      <c r="D98" t="s">
        <v>19</v>
      </c>
      <c r="E98" t="s">
        <v>35</v>
      </c>
      <c r="F98">
        <v>2535</v>
      </c>
      <c r="G98" t="s">
        <v>20</v>
      </c>
      <c r="H98" t="s">
        <v>487</v>
      </c>
      <c r="I98" t="s">
        <v>488</v>
      </c>
      <c r="J98" t="s">
        <v>394</v>
      </c>
      <c r="K98" t="s">
        <v>489</v>
      </c>
      <c r="L98" s="1">
        <v>69.900000000000006</v>
      </c>
      <c r="M98" t="s">
        <v>25</v>
      </c>
      <c r="N98" t="s">
        <v>490</v>
      </c>
      <c r="O98" t="s">
        <v>27</v>
      </c>
      <c r="P98" t="s">
        <v>28</v>
      </c>
      <c r="Q98" t="str">
        <f>IF(Tabla1[[#This Row],[price]]&lt;20, "Low Cost",IF(Tabla1[[#This Row],[price]]&lt;=50, "Estándar", "Premium"))</f>
        <v>Premium</v>
      </c>
    </row>
    <row r="99" spans="1:17">
      <c r="A99">
        <v>137598</v>
      </c>
      <c r="B99" t="s">
        <v>17</v>
      </c>
      <c r="C99" t="s">
        <v>18</v>
      </c>
      <c r="D99" t="s">
        <v>19</v>
      </c>
      <c r="E99" t="s">
        <v>35</v>
      </c>
      <c r="F99">
        <v>2839</v>
      </c>
      <c r="G99" t="s">
        <v>20</v>
      </c>
      <c r="H99" t="s">
        <v>491</v>
      </c>
      <c r="I99" t="s">
        <v>492</v>
      </c>
      <c r="J99" t="s">
        <v>299</v>
      </c>
      <c r="K99" t="s">
        <v>493</v>
      </c>
      <c r="L99" s="1">
        <v>139</v>
      </c>
      <c r="M99" t="s">
        <v>25</v>
      </c>
      <c r="N99" t="s">
        <v>494</v>
      </c>
      <c r="O99" t="s">
        <v>27</v>
      </c>
      <c r="P99" t="s">
        <v>28</v>
      </c>
      <c r="Q99" t="str">
        <f>IF(Tabla1[[#This Row],[price]]&lt;20, "Low Cost",IF(Tabla1[[#This Row],[price]]&lt;=50, "Estándar", "Premium"))</f>
        <v>Premium</v>
      </c>
    </row>
    <row r="100" spans="1:17">
      <c r="A100">
        <v>138779</v>
      </c>
      <c r="B100" t="s">
        <v>56</v>
      </c>
      <c r="C100" t="s">
        <v>35</v>
      </c>
      <c r="D100" t="s">
        <v>19</v>
      </c>
      <c r="E100" t="s">
        <v>35</v>
      </c>
      <c r="F100">
        <v>2801</v>
      </c>
      <c r="G100" t="s">
        <v>20</v>
      </c>
      <c r="H100" t="s">
        <v>495</v>
      </c>
      <c r="I100" t="s">
        <v>496</v>
      </c>
      <c r="J100" t="s">
        <v>38</v>
      </c>
      <c r="K100" t="s">
        <v>44</v>
      </c>
      <c r="L100" s="1">
        <v>139</v>
      </c>
      <c r="M100" t="s">
        <v>25</v>
      </c>
      <c r="N100" t="s">
        <v>497</v>
      </c>
      <c r="O100" t="s">
        <v>27</v>
      </c>
      <c r="P100" t="s">
        <v>28</v>
      </c>
      <c r="Q100" t="str">
        <f>IF(Tabla1[[#This Row],[price]]&lt;20, "Low Cost",IF(Tabla1[[#This Row],[price]]&lt;=50, "Estándar", "Premium"))</f>
        <v>Premium</v>
      </c>
    </row>
    <row r="101" spans="1:17">
      <c r="A101">
        <v>198329</v>
      </c>
      <c r="B101" t="s">
        <v>56</v>
      </c>
      <c r="C101" t="s">
        <v>35</v>
      </c>
      <c r="D101" t="s">
        <v>19</v>
      </c>
      <c r="E101" t="s">
        <v>35</v>
      </c>
      <c r="F101">
        <v>628</v>
      </c>
      <c r="G101" t="s">
        <v>20</v>
      </c>
      <c r="H101" t="s">
        <v>498</v>
      </c>
      <c r="I101" t="s">
        <v>499</v>
      </c>
      <c r="J101" t="s">
        <v>500</v>
      </c>
      <c r="K101" t="s">
        <v>501</v>
      </c>
      <c r="L101" s="1">
        <v>109</v>
      </c>
      <c r="M101" t="s">
        <v>25</v>
      </c>
      <c r="N101" t="s">
        <v>502</v>
      </c>
      <c r="O101" t="s">
        <v>27</v>
      </c>
      <c r="P101" t="s">
        <v>28</v>
      </c>
      <c r="Q101" t="str">
        <f>IF(Tabla1[[#This Row],[price]]&lt;20, "Low Cost",IF(Tabla1[[#This Row],[price]]&lt;=50, "Estándar", "Premium"))</f>
        <v>Premium</v>
      </c>
    </row>
    <row r="102" spans="1:17">
      <c r="A102">
        <v>110295</v>
      </c>
      <c r="B102" t="s">
        <v>34</v>
      </c>
      <c r="C102" t="s">
        <v>35</v>
      </c>
      <c r="D102" t="s">
        <v>19</v>
      </c>
      <c r="E102" t="s">
        <v>18</v>
      </c>
      <c r="F102">
        <v>1448</v>
      </c>
      <c r="G102" t="s">
        <v>20</v>
      </c>
      <c r="H102" t="s">
        <v>503</v>
      </c>
      <c r="I102" t="s">
        <v>504</v>
      </c>
      <c r="J102" t="s">
        <v>505</v>
      </c>
      <c r="K102" t="s">
        <v>506</v>
      </c>
      <c r="L102" s="1">
        <v>129</v>
      </c>
      <c r="M102" t="s">
        <v>25</v>
      </c>
      <c r="N102" t="s">
        <v>507</v>
      </c>
      <c r="O102" t="s">
        <v>27</v>
      </c>
      <c r="P102" t="s">
        <v>28</v>
      </c>
      <c r="Q102" t="str">
        <f>IF(Tabla1[[#This Row],[price]]&lt;20, "Low Cost",IF(Tabla1[[#This Row],[price]]&lt;=50, "Estándar", "Premium"))</f>
        <v>Premium</v>
      </c>
    </row>
    <row r="103" spans="1:17">
      <c r="A103">
        <v>196427</v>
      </c>
      <c r="B103" t="s">
        <v>17</v>
      </c>
      <c r="C103" t="s">
        <v>35</v>
      </c>
      <c r="D103" t="s">
        <v>19</v>
      </c>
      <c r="E103" t="s">
        <v>18</v>
      </c>
      <c r="F103">
        <v>1401</v>
      </c>
      <c r="G103" t="s">
        <v>20</v>
      </c>
      <c r="H103" t="s">
        <v>508</v>
      </c>
      <c r="I103" t="s">
        <v>509</v>
      </c>
      <c r="J103" t="s">
        <v>510</v>
      </c>
      <c r="K103" t="s">
        <v>511</v>
      </c>
      <c r="L103" s="1">
        <v>169</v>
      </c>
      <c r="M103" t="s">
        <v>25</v>
      </c>
      <c r="N103" t="s">
        <v>512</v>
      </c>
      <c r="O103" t="s">
        <v>27</v>
      </c>
      <c r="P103" t="s">
        <v>28</v>
      </c>
      <c r="Q103" t="str">
        <f>IF(Tabla1[[#This Row],[price]]&lt;20, "Low Cost",IF(Tabla1[[#This Row],[price]]&lt;=50, "Estándar", "Premium"))</f>
        <v>Premium</v>
      </c>
    </row>
    <row r="104" spans="1:17">
      <c r="A104">
        <v>110075</v>
      </c>
      <c r="B104" t="s">
        <v>56</v>
      </c>
      <c r="C104" t="s">
        <v>35</v>
      </c>
      <c r="D104" t="s">
        <v>19</v>
      </c>
      <c r="E104" t="s">
        <v>35</v>
      </c>
      <c r="F104">
        <v>2185</v>
      </c>
      <c r="G104" t="s">
        <v>20</v>
      </c>
      <c r="H104" t="s">
        <v>513</v>
      </c>
      <c r="I104" t="s">
        <v>514</v>
      </c>
      <c r="J104" t="s">
        <v>515</v>
      </c>
      <c r="K104" t="s">
        <v>516</v>
      </c>
      <c r="L104" s="1">
        <v>159</v>
      </c>
      <c r="M104" t="s">
        <v>25</v>
      </c>
      <c r="N104" t="s">
        <v>517</v>
      </c>
      <c r="O104" t="s">
        <v>27</v>
      </c>
      <c r="P104" t="s">
        <v>28</v>
      </c>
      <c r="Q104" t="str">
        <f>IF(Tabla1[[#This Row],[price]]&lt;20, "Low Cost",IF(Tabla1[[#This Row],[price]]&lt;=50, "Estándar", "Premium"))</f>
        <v>Premium</v>
      </c>
    </row>
    <row r="105" spans="1:17">
      <c r="A105">
        <v>132322</v>
      </c>
      <c r="B105" t="s">
        <v>56</v>
      </c>
      <c r="C105" t="s">
        <v>35</v>
      </c>
      <c r="D105" t="s">
        <v>19</v>
      </c>
      <c r="E105" t="s">
        <v>18</v>
      </c>
      <c r="F105">
        <v>2135</v>
      </c>
      <c r="G105" t="s">
        <v>20</v>
      </c>
      <c r="H105" t="s">
        <v>518</v>
      </c>
      <c r="I105" t="s">
        <v>519</v>
      </c>
      <c r="J105" t="s">
        <v>520</v>
      </c>
      <c r="K105" t="s">
        <v>521</v>
      </c>
      <c r="L105" s="1">
        <v>12.99</v>
      </c>
      <c r="M105" t="s">
        <v>25</v>
      </c>
      <c r="N105" t="s">
        <v>522</v>
      </c>
      <c r="O105" t="s">
        <v>27</v>
      </c>
      <c r="P105" t="s">
        <v>28</v>
      </c>
      <c r="Q105" t="str">
        <f>IF(Tabla1[[#This Row],[price]]&lt;20, "Low Cost",IF(Tabla1[[#This Row],[price]]&lt;=50, "Estándar", "Premium"))</f>
        <v>Low Cost</v>
      </c>
    </row>
    <row r="106" spans="1:17">
      <c r="A106">
        <v>199631</v>
      </c>
      <c r="B106" t="s">
        <v>56</v>
      </c>
      <c r="C106" t="s">
        <v>35</v>
      </c>
      <c r="D106" t="s">
        <v>19</v>
      </c>
      <c r="E106" t="s">
        <v>18</v>
      </c>
      <c r="F106">
        <v>1269</v>
      </c>
      <c r="G106" t="s">
        <v>20</v>
      </c>
      <c r="H106" t="s">
        <v>523</v>
      </c>
      <c r="I106" t="s">
        <v>524</v>
      </c>
      <c r="J106" t="s">
        <v>525</v>
      </c>
      <c r="K106" t="s">
        <v>526</v>
      </c>
      <c r="L106" s="1">
        <v>89.9</v>
      </c>
      <c r="M106" t="s">
        <v>25</v>
      </c>
      <c r="N106" t="s">
        <v>527</v>
      </c>
      <c r="O106" t="s">
        <v>27</v>
      </c>
      <c r="P106" t="s">
        <v>28</v>
      </c>
      <c r="Q106" t="str">
        <f>IF(Tabla1[[#This Row],[price]]&lt;20, "Low Cost",IF(Tabla1[[#This Row],[price]]&lt;=50, "Estándar", "Premium"))</f>
        <v>Premium</v>
      </c>
    </row>
    <row r="107" spans="1:17">
      <c r="A107">
        <v>182306</v>
      </c>
      <c r="B107" t="s">
        <v>56</v>
      </c>
      <c r="C107" t="s">
        <v>18</v>
      </c>
      <c r="D107" t="s">
        <v>19</v>
      </c>
      <c r="E107" t="s">
        <v>18</v>
      </c>
      <c r="F107">
        <v>2805</v>
      </c>
      <c r="G107" t="s">
        <v>20</v>
      </c>
      <c r="H107" t="s">
        <v>528</v>
      </c>
      <c r="I107" t="s">
        <v>529</v>
      </c>
      <c r="J107" t="s">
        <v>530</v>
      </c>
      <c r="K107" t="s">
        <v>531</v>
      </c>
      <c r="L107" s="1">
        <v>89.9</v>
      </c>
      <c r="M107" t="s">
        <v>25</v>
      </c>
      <c r="N107" t="s">
        <v>532</v>
      </c>
      <c r="O107" t="s">
        <v>27</v>
      </c>
      <c r="P107" t="s">
        <v>28</v>
      </c>
      <c r="Q107" t="str">
        <f>IF(Tabla1[[#This Row],[price]]&lt;20, "Low Cost",IF(Tabla1[[#This Row],[price]]&lt;=50, "Estándar", "Premium"))</f>
        <v>Premium</v>
      </c>
    </row>
    <row r="108" spans="1:17">
      <c r="A108">
        <v>194915</v>
      </c>
      <c r="B108" t="s">
        <v>17</v>
      </c>
      <c r="C108" t="s">
        <v>35</v>
      </c>
      <c r="D108" t="s">
        <v>19</v>
      </c>
      <c r="E108" t="s">
        <v>18</v>
      </c>
      <c r="F108">
        <v>1796</v>
      </c>
      <c r="G108" t="s">
        <v>20</v>
      </c>
      <c r="H108" t="s">
        <v>533</v>
      </c>
      <c r="I108" t="s">
        <v>534</v>
      </c>
      <c r="J108" t="s">
        <v>535</v>
      </c>
      <c r="K108" t="s">
        <v>536</v>
      </c>
      <c r="L108" s="1">
        <v>79.900000000000006</v>
      </c>
      <c r="M108" t="s">
        <v>25</v>
      </c>
      <c r="N108" t="s">
        <v>537</v>
      </c>
      <c r="O108" t="s">
        <v>27</v>
      </c>
      <c r="P108" t="s">
        <v>28</v>
      </c>
      <c r="Q108" t="str">
        <f>IF(Tabla1[[#This Row],[price]]&lt;20, "Low Cost",IF(Tabla1[[#This Row],[price]]&lt;=50, "Estándar", "Premium"))</f>
        <v>Premium</v>
      </c>
    </row>
    <row r="109" spans="1:17">
      <c r="A109">
        <v>131298</v>
      </c>
      <c r="B109" t="s">
        <v>34</v>
      </c>
      <c r="C109" t="s">
        <v>35</v>
      </c>
      <c r="D109" t="s">
        <v>19</v>
      </c>
      <c r="E109" t="s">
        <v>18</v>
      </c>
      <c r="F109">
        <v>2133</v>
      </c>
      <c r="G109" t="s">
        <v>20</v>
      </c>
      <c r="H109" t="s">
        <v>538</v>
      </c>
      <c r="I109" t="s">
        <v>539</v>
      </c>
      <c r="J109" t="s">
        <v>540</v>
      </c>
      <c r="K109" t="s">
        <v>541</v>
      </c>
      <c r="L109" s="1">
        <v>69.900000000000006</v>
      </c>
      <c r="M109" t="s">
        <v>25</v>
      </c>
      <c r="N109" t="s">
        <v>542</v>
      </c>
      <c r="O109" t="s">
        <v>27</v>
      </c>
      <c r="P109" t="s">
        <v>28</v>
      </c>
      <c r="Q109" t="str">
        <f>IF(Tabla1[[#This Row],[price]]&lt;20, "Low Cost",IF(Tabla1[[#This Row],[price]]&lt;=50, "Estándar", "Premium"))</f>
        <v>Premium</v>
      </c>
    </row>
    <row r="110" spans="1:17">
      <c r="A110">
        <v>168571</v>
      </c>
      <c r="B110" t="s">
        <v>17</v>
      </c>
      <c r="C110" t="s">
        <v>18</v>
      </c>
      <c r="D110" t="s">
        <v>19</v>
      </c>
      <c r="E110" t="s">
        <v>18</v>
      </c>
      <c r="F110">
        <v>1778</v>
      </c>
      <c r="G110" t="s">
        <v>20</v>
      </c>
      <c r="H110" t="s">
        <v>543</v>
      </c>
      <c r="I110" t="s">
        <v>544</v>
      </c>
      <c r="J110" t="s">
        <v>423</v>
      </c>
      <c r="K110" t="s">
        <v>545</v>
      </c>
      <c r="L110" s="1">
        <v>89.9</v>
      </c>
      <c r="M110" t="s">
        <v>25</v>
      </c>
      <c r="N110" t="s">
        <v>546</v>
      </c>
      <c r="O110" t="s">
        <v>27</v>
      </c>
      <c r="P110" t="s">
        <v>28</v>
      </c>
      <c r="Q110" t="str">
        <f>IF(Tabla1[[#This Row],[price]]&lt;20, "Low Cost",IF(Tabla1[[#This Row],[price]]&lt;=50, "Estándar", "Premium"))</f>
        <v>Premium</v>
      </c>
    </row>
    <row r="111" spans="1:17">
      <c r="A111">
        <v>154224</v>
      </c>
      <c r="B111" t="s">
        <v>34</v>
      </c>
      <c r="C111" t="s">
        <v>35</v>
      </c>
      <c r="D111" t="s">
        <v>19</v>
      </c>
      <c r="E111" t="s">
        <v>18</v>
      </c>
      <c r="F111">
        <v>2474</v>
      </c>
      <c r="G111" t="s">
        <v>20</v>
      </c>
      <c r="H111" t="s">
        <v>547</v>
      </c>
      <c r="I111" t="s">
        <v>548</v>
      </c>
      <c r="J111" t="s">
        <v>549</v>
      </c>
      <c r="K111" t="s">
        <v>550</v>
      </c>
      <c r="L111" s="1">
        <v>89.9</v>
      </c>
      <c r="M111" t="s">
        <v>25</v>
      </c>
      <c r="N111" t="s">
        <v>551</v>
      </c>
      <c r="O111" t="s">
        <v>27</v>
      </c>
      <c r="P111" t="s">
        <v>28</v>
      </c>
      <c r="Q111" t="str">
        <f>IF(Tabla1[[#This Row],[price]]&lt;20, "Low Cost",IF(Tabla1[[#This Row],[price]]&lt;=50, "Estándar", "Premium"))</f>
        <v>Premium</v>
      </c>
    </row>
    <row r="112" spans="1:17">
      <c r="A112">
        <v>171061</v>
      </c>
      <c r="B112" t="s">
        <v>17</v>
      </c>
      <c r="C112" t="s">
        <v>18</v>
      </c>
      <c r="D112" t="s">
        <v>19</v>
      </c>
      <c r="E112" t="s">
        <v>35</v>
      </c>
      <c r="F112">
        <v>2032</v>
      </c>
      <c r="G112" t="s">
        <v>20</v>
      </c>
      <c r="H112" t="s">
        <v>552</v>
      </c>
      <c r="I112" t="s">
        <v>553</v>
      </c>
      <c r="J112" t="s">
        <v>540</v>
      </c>
      <c r="K112" t="s">
        <v>554</v>
      </c>
      <c r="L112" s="1">
        <v>59.9</v>
      </c>
      <c r="M112" t="s">
        <v>25</v>
      </c>
      <c r="N112" t="s">
        <v>555</v>
      </c>
      <c r="O112" t="s">
        <v>27</v>
      </c>
      <c r="P112" t="s">
        <v>28</v>
      </c>
      <c r="Q112" t="str">
        <f>IF(Tabla1[[#This Row],[price]]&lt;20, "Low Cost",IF(Tabla1[[#This Row],[price]]&lt;=50, "Estándar", "Premium"))</f>
        <v>Premium</v>
      </c>
    </row>
    <row r="113" spans="1:17">
      <c r="A113">
        <v>119049</v>
      </c>
      <c r="B113" t="s">
        <v>17</v>
      </c>
      <c r="C113" t="s">
        <v>18</v>
      </c>
      <c r="D113" t="s">
        <v>19</v>
      </c>
      <c r="E113" t="s">
        <v>35</v>
      </c>
      <c r="F113">
        <v>1659</v>
      </c>
      <c r="G113" t="s">
        <v>20</v>
      </c>
      <c r="H113" t="s">
        <v>556</v>
      </c>
      <c r="I113" t="s">
        <v>557</v>
      </c>
      <c r="J113" t="s">
        <v>558</v>
      </c>
      <c r="K113" t="s">
        <v>559</v>
      </c>
      <c r="L113" s="1">
        <v>89.9</v>
      </c>
      <c r="M113" t="s">
        <v>25</v>
      </c>
      <c r="N113" t="s">
        <v>560</v>
      </c>
      <c r="O113" t="s">
        <v>27</v>
      </c>
      <c r="P113" t="s">
        <v>28</v>
      </c>
      <c r="Q113" t="str">
        <f>IF(Tabla1[[#This Row],[price]]&lt;20, "Low Cost",IF(Tabla1[[#This Row],[price]]&lt;=50, "Estándar", "Premium"))</f>
        <v>Premium</v>
      </c>
    </row>
    <row r="114" spans="1:17">
      <c r="A114">
        <v>158781</v>
      </c>
      <c r="B114" t="s">
        <v>34</v>
      </c>
      <c r="C114" t="s">
        <v>35</v>
      </c>
      <c r="D114" t="s">
        <v>19</v>
      </c>
      <c r="E114" t="s">
        <v>35</v>
      </c>
      <c r="F114">
        <v>2443</v>
      </c>
      <c r="G114" t="s">
        <v>20</v>
      </c>
      <c r="H114" t="s">
        <v>561</v>
      </c>
      <c r="I114" t="s">
        <v>562</v>
      </c>
      <c r="J114" t="s">
        <v>563</v>
      </c>
      <c r="K114" t="s">
        <v>564</v>
      </c>
      <c r="L114" s="1">
        <v>69.900000000000006</v>
      </c>
      <c r="M114" t="s">
        <v>25</v>
      </c>
      <c r="N114" t="s">
        <v>565</v>
      </c>
      <c r="O114" t="s">
        <v>27</v>
      </c>
      <c r="P114" t="s">
        <v>28</v>
      </c>
      <c r="Q114" t="str">
        <f>IF(Tabla1[[#This Row],[price]]&lt;20, "Low Cost",IF(Tabla1[[#This Row],[price]]&lt;=50, "Estándar", "Premium"))</f>
        <v>Premium</v>
      </c>
    </row>
    <row r="115" spans="1:17">
      <c r="A115">
        <v>151438</v>
      </c>
      <c r="B115" t="s">
        <v>17</v>
      </c>
      <c r="C115" t="s">
        <v>18</v>
      </c>
      <c r="D115" t="s">
        <v>19</v>
      </c>
      <c r="E115" t="s">
        <v>35</v>
      </c>
      <c r="F115">
        <v>1137</v>
      </c>
      <c r="G115" t="s">
        <v>20</v>
      </c>
      <c r="H115" t="s">
        <v>566</v>
      </c>
      <c r="I115" t="s">
        <v>567</v>
      </c>
      <c r="J115" t="s">
        <v>540</v>
      </c>
      <c r="K115" t="s">
        <v>568</v>
      </c>
      <c r="L115" s="1">
        <v>69.900000000000006</v>
      </c>
      <c r="M115" t="s">
        <v>25</v>
      </c>
      <c r="N115" t="s">
        <v>569</v>
      </c>
      <c r="O115" t="s">
        <v>27</v>
      </c>
      <c r="P115" t="s">
        <v>28</v>
      </c>
      <c r="Q115" t="str">
        <f>IF(Tabla1[[#This Row],[price]]&lt;20, "Low Cost",IF(Tabla1[[#This Row],[price]]&lt;=50, "Estándar", "Premium"))</f>
        <v>Premium</v>
      </c>
    </row>
    <row r="116" spans="1:17">
      <c r="A116">
        <v>152871</v>
      </c>
      <c r="B116" t="s">
        <v>34</v>
      </c>
      <c r="C116" t="s">
        <v>18</v>
      </c>
      <c r="D116" t="s">
        <v>19</v>
      </c>
      <c r="E116" t="s">
        <v>35</v>
      </c>
      <c r="F116">
        <v>1847</v>
      </c>
      <c r="G116" t="s">
        <v>20</v>
      </c>
      <c r="H116" t="s">
        <v>570</v>
      </c>
      <c r="I116" t="s">
        <v>571</v>
      </c>
      <c r="J116" t="s">
        <v>572</v>
      </c>
      <c r="K116" t="s">
        <v>573</v>
      </c>
      <c r="L116" s="1">
        <v>69.900000000000006</v>
      </c>
      <c r="M116" t="s">
        <v>25</v>
      </c>
      <c r="N116" t="s">
        <v>574</v>
      </c>
      <c r="O116" t="s">
        <v>27</v>
      </c>
      <c r="P116" t="s">
        <v>28</v>
      </c>
      <c r="Q116" t="str">
        <f>IF(Tabla1[[#This Row],[price]]&lt;20, "Low Cost",IF(Tabla1[[#This Row],[price]]&lt;=50, "Estándar", "Premium"))</f>
        <v>Premium</v>
      </c>
    </row>
    <row r="117" spans="1:17">
      <c r="A117">
        <v>126806</v>
      </c>
      <c r="B117" t="s">
        <v>34</v>
      </c>
      <c r="C117" t="s">
        <v>35</v>
      </c>
      <c r="D117" t="s">
        <v>19</v>
      </c>
      <c r="E117" t="s">
        <v>35</v>
      </c>
      <c r="F117">
        <v>2404</v>
      </c>
      <c r="G117" t="s">
        <v>20</v>
      </c>
      <c r="H117" t="s">
        <v>575</v>
      </c>
      <c r="I117" t="s">
        <v>576</v>
      </c>
      <c r="J117" t="s">
        <v>423</v>
      </c>
      <c r="K117" t="s">
        <v>577</v>
      </c>
      <c r="L117" s="1">
        <v>109</v>
      </c>
      <c r="M117" t="s">
        <v>25</v>
      </c>
      <c r="N117" t="s">
        <v>578</v>
      </c>
      <c r="O117" t="s">
        <v>27</v>
      </c>
      <c r="P117" t="s">
        <v>28</v>
      </c>
      <c r="Q117" t="str">
        <f>IF(Tabla1[[#This Row],[price]]&lt;20, "Low Cost",IF(Tabla1[[#This Row],[price]]&lt;=50, "Estándar", "Premium"))</f>
        <v>Premium</v>
      </c>
    </row>
    <row r="118" spans="1:17">
      <c r="A118">
        <v>134104</v>
      </c>
      <c r="B118" t="s">
        <v>34</v>
      </c>
      <c r="C118" t="s">
        <v>18</v>
      </c>
      <c r="D118" t="s">
        <v>19</v>
      </c>
      <c r="E118" t="s">
        <v>35</v>
      </c>
      <c r="F118">
        <v>1466</v>
      </c>
      <c r="G118" t="s">
        <v>20</v>
      </c>
      <c r="H118" t="s">
        <v>579</v>
      </c>
      <c r="I118" t="s">
        <v>580</v>
      </c>
      <c r="J118" t="s">
        <v>581</v>
      </c>
      <c r="K118" t="s">
        <v>582</v>
      </c>
      <c r="L118" s="1">
        <v>59.9</v>
      </c>
      <c r="M118" t="s">
        <v>25</v>
      </c>
      <c r="N118" t="s">
        <v>583</v>
      </c>
      <c r="O118" t="s">
        <v>27</v>
      </c>
      <c r="P118" t="s">
        <v>28</v>
      </c>
      <c r="Q118" t="str">
        <f>IF(Tabla1[[#This Row],[price]]&lt;20, "Low Cost",IF(Tabla1[[#This Row],[price]]&lt;=50, "Estándar", "Premium"))</f>
        <v>Premium</v>
      </c>
    </row>
    <row r="119" spans="1:17">
      <c r="A119">
        <v>120266</v>
      </c>
      <c r="B119" t="s">
        <v>56</v>
      </c>
      <c r="C119" t="s">
        <v>18</v>
      </c>
      <c r="D119" t="s">
        <v>19</v>
      </c>
      <c r="E119" t="s">
        <v>18</v>
      </c>
      <c r="F119">
        <v>2328</v>
      </c>
      <c r="G119" t="s">
        <v>20</v>
      </c>
      <c r="H119" t="s">
        <v>584</v>
      </c>
      <c r="I119" t="s">
        <v>585</v>
      </c>
      <c r="J119" t="s">
        <v>540</v>
      </c>
      <c r="K119" t="s">
        <v>586</v>
      </c>
      <c r="L119" s="1">
        <v>59.9</v>
      </c>
      <c r="M119" t="s">
        <v>25</v>
      </c>
      <c r="N119" t="s">
        <v>587</v>
      </c>
      <c r="O119" t="s">
        <v>27</v>
      </c>
      <c r="P119" t="s">
        <v>28</v>
      </c>
      <c r="Q119" t="str">
        <f>IF(Tabla1[[#This Row],[price]]&lt;20, "Low Cost",IF(Tabla1[[#This Row],[price]]&lt;=50, "Estándar", "Premium"))</f>
        <v>Premium</v>
      </c>
    </row>
    <row r="120" spans="1:17">
      <c r="A120">
        <v>173550</v>
      </c>
      <c r="B120" t="s">
        <v>34</v>
      </c>
      <c r="C120" t="s">
        <v>18</v>
      </c>
      <c r="D120" t="s">
        <v>19</v>
      </c>
      <c r="E120" t="s">
        <v>35</v>
      </c>
      <c r="F120">
        <v>1431</v>
      </c>
      <c r="G120" t="s">
        <v>20</v>
      </c>
      <c r="H120" t="s">
        <v>588</v>
      </c>
      <c r="I120" t="s">
        <v>589</v>
      </c>
      <c r="J120" t="s">
        <v>423</v>
      </c>
      <c r="K120" t="s">
        <v>590</v>
      </c>
      <c r="L120" s="1">
        <v>59.9</v>
      </c>
      <c r="M120" t="s">
        <v>25</v>
      </c>
      <c r="N120" t="s">
        <v>591</v>
      </c>
      <c r="O120" t="s">
        <v>27</v>
      </c>
      <c r="P120" t="s">
        <v>28</v>
      </c>
      <c r="Q120" t="str">
        <f>IF(Tabla1[[#This Row],[price]]&lt;20, "Low Cost",IF(Tabla1[[#This Row],[price]]&lt;=50, "Estándar", "Premium"))</f>
        <v>Premium</v>
      </c>
    </row>
    <row r="121" spans="1:17">
      <c r="A121">
        <v>175927</v>
      </c>
      <c r="B121" t="s">
        <v>34</v>
      </c>
      <c r="C121" t="s">
        <v>18</v>
      </c>
      <c r="D121" t="s">
        <v>19</v>
      </c>
      <c r="E121" t="s">
        <v>35</v>
      </c>
      <c r="F121">
        <v>1506</v>
      </c>
      <c r="G121" t="s">
        <v>20</v>
      </c>
      <c r="H121" t="s">
        <v>592</v>
      </c>
      <c r="I121" t="s">
        <v>593</v>
      </c>
      <c r="J121" t="s">
        <v>594</v>
      </c>
      <c r="K121" t="s">
        <v>595</v>
      </c>
      <c r="L121" s="1">
        <v>109</v>
      </c>
      <c r="M121" t="s">
        <v>25</v>
      </c>
      <c r="N121" t="s">
        <v>596</v>
      </c>
      <c r="O121" t="s">
        <v>27</v>
      </c>
      <c r="P121" t="s">
        <v>28</v>
      </c>
      <c r="Q121" t="str">
        <f>IF(Tabla1[[#This Row],[price]]&lt;20, "Low Cost",IF(Tabla1[[#This Row],[price]]&lt;=50, "Estándar", "Premium"))</f>
        <v>Premium</v>
      </c>
    </row>
    <row r="122" spans="1:17">
      <c r="A122">
        <v>154278</v>
      </c>
      <c r="B122" t="s">
        <v>34</v>
      </c>
      <c r="C122" t="s">
        <v>18</v>
      </c>
      <c r="D122" t="s">
        <v>19</v>
      </c>
      <c r="E122" t="s">
        <v>35</v>
      </c>
      <c r="F122">
        <v>2749</v>
      </c>
      <c r="G122" t="s">
        <v>20</v>
      </c>
      <c r="H122" t="s">
        <v>597</v>
      </c>
      <c r="I122" t="s">
        <v>598</v>
      </c>
      <c r="J122" t="s">
        <v>599</v>
      </c>
      <c r="K122" t="s">
        <v>600</v>
      </c>
      <c r="L122" s="1">
        <v>89.9</v>
      </c>
      <c r="M122" t="s">
        <v>25</v>
      </c>
      <c r="N122" t="s">
        <v>601</v>
      </c>
      <c r="O122" t="s">
        <v>27</v>
      </c>
      <c r="P122" t="s">
        <v>28</v>
      </c>
      <c r="Q122" t="str">
        <f>IF(Tabla1[[#This Row],[price]]&lt;20, "Low Cost",IF(Tabla1[[#This Row],[price]]&lt;=50, "Estándar", "Premium"))</f>
        <v>Premium</v>
      </c>
    </row>
    <row r="123" spans="1:17">
      <c r="A123">
        <v>183537</v>
      </c>
      <c r="B123" t="s">
        <v>56</v>
      </c>
      <c r="C123" t="s">
        <v>35</v>
      </c>
      <c r="D123" t="s">
        <v>19</v>
      </c>
      <c r="E123" t="s">
        <v>35</v>
      </c>
      <c r="F123">
        <v>2434</v>
      </c>
      <c r="G123" t="s">
        <v>20</v>
      </c>
      <c r="H123" t="s">
        <v>602</v>
      </c>
      <c r="I123" t="s">
        <v>603</v>
      </c>
      <c r="J123" t="s">
        <v>604</v>
      </c>
      <c r="K123" t="s">
        <v>605</v>
      </c>
      <c r="L123" s="1">
        <v>19.989999999999998</v>
      </c>
      <c r="M123" t="s">
        <v>25</v>
      </c>
      <c r="N123" t="s">
        <v>606</v>
      </c>
      <c r="O123" t="s">
        <v>27</v>
      </c>
      <c r="P123" t="s">
        <v>28</v>
      </c>
      <c r="Q123" t="str">
        <f>IF(Tabla1[[#This Row],[price]]&lt;20, "Low Cost",IF(Tabla1[[#This Row],[price]]&lt;=50, "Estándar", "Premium"))</f>
        <v>Low Cost</v>
      </c>
    </row>
    <row r="124" spans="1:17">
      <c r="A124">
        <v>150424</v>
      </c>
      <c r="B124" t="s">
        <v>56</v>
      </c>
      <c r="C124" t="s">
        <v>18</v>
      </c>
      <c r="D124" t="s">
        <v>19</v>
      </c>
      <c r="E124" t="s">
        <v>35</v>
      </c>
      <c r="F124">
        <v>2067</v>
      </c>
      <c r="G124" t="s">
        <v>20</v>
      </c>
      <c r="H124" t="s">
        <v>607</v>
      </c>
      <c r="I124" t="s">
        <v>608</v>
      </c>
      <c r="J124" t="s">
        <v>609</v>
      </c>
      <c r="K124" t="s">
        <v>610</v>
      </c>
      <c r="L124" s="1">
        <v>79.900000000000006</v>
      </c>
      <c r="M124" t="s">
        <v>25</v>
      </c>
      <c r="N124" t="s">
        <v>611</v>
      </c>
      <c r="O124" t="s">
        <v>27</v>
      </c>
      <c r="P124" t="s">
        <v>28</v>
      </c>
      <c r="Q124" t="str">
        <f>IF(Tabla1[[#This Row],[price]]&lt;20, "Low Cost",IF(Tabla1[[#This Row],[price]]&lt;=50, "Estándar", "Premium"))</f>
        <v>Premium</v>
      </c>
    </row>
    <row r="125" spans="1:17">
      <c r="A125">
        <v>183825</v>
      </c>
      <c r="B125" t="s">
        <v>17</v>
      </c>
      <c r="C125" t="s">
        <v>35</v>
      </c>
      <c r="D125" t="s">
        <v>19</v>
      </c>
      <c r="E125" t="s">
        <v>35</v>
      </c>
      <c r="F125">
        <v>2989</v>
      </c>
      <c r="G125" t="s">
        <v>20</v>
      </c>
      <c r="H125" t="s">
        <v>612</v>
      </c>
      <c r="I125" t="s">
        <v>613</v>
      </c>
      <c r="J125" t="s">
        <v>614</v>
      </c>
      <c r="K125" t="s">
        <v>615</v>
      </c>
      <c r="L125" s="1">
        <v>19.989999999999998</v>
      </c>
      <c r="M125" t="s">
        <v>25</v>
      </c>
      <c r="N125" t="s">
        <v>616</v>
      </c>
      <c r="O125" t="s">
        <v>27</v>
      </c>
      <c r="P125" t="s">
        <v>28</v>
      </c>
      <c r="Q125" t="str">
        <f>IF(Tabla1[[#This Row],[price]]&lt;20, "Low Cost",IF(Tabla1[[#This Row],[price]]&lt;=50, "Estándar", "Premium"))</f>
        <v>Low Cost</v>
      </c>
    </row>
    <row r="126" spans="1:17">
      <c r="A126">
        <v>144012</v>
      </c>
      <c r="B126" t="s">
        <v>56</v>
      </c>
      <c r="C126" t="s">
        <v>35</v>
      </c>
      <c r="D126" t="s">
        <v>19</v>
      </c>
      <c r="E126" t="s">
        <v>18</v>
      </c>
      <c r="F126">
        <v>743</v>
      </c>
      <c r="G126" t="s">
        <v>20</v>
      </c>
      <c r="H126" t="s">
        <v>617</v>
      </c>
      <c r="I126" t="s">
        <v>618</v>
      </c>
      <c r="J126" t="s">
        <v>619</v>
      </c>
      <c r="K126" t="s">
        <v>620</v>
      </c>
      <c r="L126" s="1">
        <v>59.9</v>
      </c>
      <c r="M126" t="s">
        <v>25</v>
      </c>
      <c r="N126" t="s">
        <v>621</v>
      </c>
      <c r="O126" t="s">
        <v>27</v>
      </c>
      <c r="P126" t="s">
        <v>28</v>
      </c>
      <c r="Q126" t="str">
        <f>IF(Tabla1[[#This Row],[price]]&lt;20, "Low Cost",IF(Tabla1[[#This Row],[price]]&lt;=50, "Estándar", "Premium"))</f>
        <v>Premium</v>
      </c>
    </row>
    <row r="127" spans="1:17">
      <c r="A127">
        <v>147051</v>
      </c>
      <c r="B127" t="s">
        <v>56</v>
      </c>
      <c r="C127" t="s">
        <v>18</v>
      </c>
      <c r="D127" t="s">
        <v>19</v>
      </c>
      <c r="E127" t="s">
        <v>18</v>
      </c>
      <c r="F127">
        <v>2325</v>
      </c>
      <c r="G127" t="s">
        <v>20</v>
      </c>
      <c r="H127" t="s">
        <v>622</v>
      </c>
      <c r="I127" t="s">
        <v>623</v>
      </c>
      <c r="J127" t="s">
        <v>624</v>
      </c>
      <c r="K127" t="s">
        <v>625</v>
      </c>
      <c r="L127" s="1">
        <v>109</v>
      </c>
      <c r="M127" t="s">
        <v>25</v>
      </c>
      <c r="N127" t="s">
        <v>626</v>
      </c>
      <c r="O127" t="s">
        <v>27</v>
      </c>
      <c r="P127" t="s">
        <v>28</v>
      </c>
      <c r="Q127" t="str">
        <f>IF(Tabla1[[#This Row],[price]]&lt;20, "Low Cost",IF(Tabla1[[#This Row],[price]]&lt;=50, "Estándar", "Premium"))</f>
        <v>Premium</v>
      </c>
    </row>
    <row r="128" spans="1:17">
      <c r="A128">
        <v>185800</v>
      </c>
      <c r="B128" t="s">
        <v>34</v>
      </c>
      <c r="C128" t="s">
        <v>18</v>
      </c>
      <c r="D128" t="s">
        <v>19</v>
      </c>
      <c r="E128" t="s">
        <v>35</v>
      </c>
      <c r="F128">
        <v>1841</v>
      </c>
      <c r="G128" t="s">
        <v>20</v>
      </c>
      <c r="H128" t="s">
        <v>627</v>
      </c>
      <c r="I128" t="s">
        <v>628</v>
      </c>
      <c r="J128" t="s">
        <v>629</v>
      </c>
      <c r="K128" t="s">
        <v>630</v>
      </c>
      <c r="L128" s="1">
        <v>109</v>
      </c>
      <c r="M128" t="s">
        <v>25</v>
      </c>
      <c r="N128" t="s">
        <v>631</v>
      </c>
      <c r="O128" t="s">
        <v>27</v>
      </c>
      <c r="P128" t="s">
        <v>28</v>
      </c>
      <c r="Q128" t="str">
        <f>IF(Tabla1[[#This Row],[price]]&lt;20, "Low Cost",IF(Tabla1[[#This Row],[price]]&lt;=50, "Estándar", "Premium"))</f>
        <v>Premium</v>
      </c>
    </row>
    <row r="129" spans="1:17">
      <c r="A129">
        <v>197524</v>
      </c>
      <c r="B129" t="s">
        <v>17</v>
      </c>
      <c r="C129" t="s">
        <v>35</v>
      </c>
      <c r="D129" t="s">
        <v>19</v>
      </c>
      <c r="E129" t="s">
        <v>35</v>
      </c>
      <c r="F129">
        <v>2231</v>
      </c>
      <c r="G129" t="s">
        <v>20</v>
      </c>
      <c r="H129" t="s">
        <v>632</v>
      </c>
      <c r="I129" t="s">
        <v>633</v>
      </c>
      <c r="J129" t="s">
        <v>540</v>
      </c>
      <c r="K129" t="s">
        <v>634</v>
      </c>
      <c r="L129" s="1">
        <v>49.9</v>
      </c>
      <c r="M129" t="s">
        <v>25</v>
      </c>
      <c r="N129" t="s">
        <v>635</v>
      </c>
      <c r="O129" t="s">
        <v>27</v>
      </c>
      <c r="P129" t="s">
        <v>28</v>
      </c>
      <c r="Q129" t="str">
        <f>IF(Tabla1[[#This Row],[price]]&lt;20, "Low Cost",IF(Tabla1[[#This Row],[price]]&lt;=50, "Estándar", "Premium"))</f>
        <v>Estándar</v>
      </c>
    </row>
    <row r="130" spans="1:17">
      <c r="A130">
        <v>148823</v>
      </c>
      <c r="B130" t="s">
        <v>17</v>
      </c>
      <c r="C130" t="s">
        <v>18</v>
      </c>
      <c r="D130" t="s">
        <v>19</v>
      </c>
      <c r="E130" t="s">
        <v>35</v>
      </c>
      <c r="F130">
        <v>2211</v>
      </c>
      <c r="G130" t="s">
        <v>20</v>
      </c>
      <c r="H130" t="s">
        <v>636</v>
      </c>
      <c r="I130" t="s">
        <v>637</v>
      </c>
      <c r="J130" t="s">
        <v>638</v>
      </c>
      <c r="K130" t="s">
        <v>639</v>
      </c>
      <c r="L130" s="1">
        <v>89.9</v>
      </c>
      <c r="M130" t="s">
        <v>25</v>
      </c>
      <c r="N130" t="s">
        <v>640</v>
      </c>
      <c r="O130" t="s">
        <v>641</v>
      </c>
      <c r="P130" t="s">
        <v>28</v>
      </c>
      <c r="Q130" t="str">
        <f>IF(Tabla1[[#This Row],[price]]&lt;20, "Low Cost",IF(Tabla1[[#This Row],[price]]&lt;=50, "Estándar", "Premium"))</f>
        <v>Premium</v>
      </c>
    </row>
    <row r="131" spans="1:17">
      <c r="A131">
        <v>114550</v>
      </c>
      <c r="B131" t="s">
        <v>34</v>
      </c>
      <c r="C131" t="s">
        <v>18</v>
      </c>
      <c r="D131" t="s">
        <v>19</v>
      </c>
      <c r="E131" t="s">
        <v>18</v>
      </c>
      <c r="F131">
        <v>2114</v>
      </c>
      <c r="G131" t="s">
        <v>20</v>
      </c>
      <c r="H131" t="s">
        <v>642</v>
      </c>
      <c r="I131" t="s">
        <v>643</v>
      </c>
      <c r="J131" t="s">
        <v>644</v>
      </c>
      <c r="K131" t="s">
        <v>645</v>
      </c>
      <c r="L131" s="1">
        <v>69.900000000000006</v>
      </c>
      <c r="M131" t="s">
        <v>25</v>
      </c>
      <c r="N131" t="s">
        <v>646</v>
      </c>
      <c r="O131" t="s">
        <v>641</v>
      </c>
      <c r="P131" t="s">
        <v>28</v>
      </c>
      <c r="Q131" t="str">
        <f>IF(Tabla1[[#This Row],[price]]&lt;20, "Low Cost",IF(Tabla1[[#This Row],[price]]&lt;=50, "Estándar", "Premium"))</f>
        <v>Premium</v>
      </c>
    </row>
    <row r="132" spans="1:17">
      <c r="A132">
        <v>125398</v>
      </c>
      <c r="B132" t="s">
        <v>17</v>
      </c>
      <c r="C132" t="s">
        <v>35</v>
      </c>
      <c r="D132" t="s">
        <v>19</v>
      </c>
      <c r="E132" t="s">
        <v>35</v>
      </c>
      <c r="F132">
        <v>1350</v>
      </c>
      <c r="G132" t="s">
        <v>20</v>
      </c>
      <c r="H132" t="s">
        <v>647</v>
      </c>
      <c r="I132" t="s">
        <v>648</v>
      </c>
      <c r="J132" t="s">
        <v>649</v>
      </c>
      <c r="K132" t="s">
        <v>650</v>
      </c>
      <c r="L132" s="1">
        <v>69.900000000000006</v>
      </c>
      <c r="M132" t="s">
        <v>25</v>
      </c>
      <c r="N132" t="s">
        <v>651</v>
      </c>
      <c r="O132" t="s">
        <v>641</v>
      </c>
      <c r="P132" t="s">
        <v>28</v>
      </c>
      <c r="Q132" t="str">
        <f>IF(Tabla1[[#This Row],[price]]&lt;20, "Low Cost",IF(Tabla1[[#This Row],[price]]&lt;=50, "Estándar", "Premium"))</f>
        <v>Premium</v>
      </c>
    </row>
    <row r="133" spans="1:17">
      <c r="A133">
        <v>123985</v>
      </c>
      <c r="B133" t="s">
        <v>34</v>
      </c>
      <c r="C133" t="s">
        <v>18</v>
      </c>
      <c r="D133" t="s">
        <v>19</v>
      </c>
      <c r="E133" t="s">
        <v>18</v>
      </c>
      <c r="F133">
        <v>2240</v>
      </c>
      <c r="G133" t="s">
        <v>20</v>
      </c>
      <c r="H133" t="s">
        <v>652</v>
      </c>
      <c r="I133" t="s">
        <v>653</v>
      </c>
      <c r="J133" t="s">
        <v>654</v>
      </c>
      <c r="K133" t="s">
        <v>655</v>
      </c>
      <c r="L133" s="1">
        <v>69.900000000000006</v>
      </c>
      <c r="M133" t="s">
        <v>25</v>
      </c>
      <c r="N133" t="s">
        <v>656</v>
      </c>
      <c r="O133" t="s">
        <v>641</v>
      </c>
      <c r="P133" t="s">
        <v>28</v>
      </c>
      <c r="Q133" t="str">
        <f>IF(Tabla1[[#This Row],[price]]&lt;20, "Low Cost",IF(Tabla1[[#This Row],[price]]&lt;=50, "Estándar", "Premium"))</f>
        <v>Premium</v>
      </c>
    </row>
    <row r="134" spans="1:17">
      <c r="A134">
        <v>186638</v>
      </c>
      <c r="B134" t="s">
        <v>34</v>
      </c>
      <c r="C134" t="s">
        <v>35</v>
      </c>
      <c r="D134" t="s">
        <v>19</v>
      </c>
      <c r="E134" t="s">
        <v>18</v>
      </c>
      <c r="F134">
        <v>1296</v>
      </c>
      <c r="G134" t="s">
        <v>20</v>
      </c>
      <c r="H134" t="s">
        <v>657</v>
      </c>
      <c r="I134" t="s">
        <v>658</v>
      </c>
      <c r="J134" t="s">
        <v>659</v>
      </c>
      <c r="K134" t="s">
        <v>660</v>
      </c>
      <c r="L134" s="1">
        <v>59.9</v>
      </c>
      <c r="M134" t="s">
        <v>25</v>
      </c>
      <c r="N134" t="s">
        <v>661</v>
      </c>
      <c r="O134" t="s">
        <v>641</v>
      </c>
      <c r="P134" t="s">
        <v>28</v>
      </c>
      <c r="Q134" t="str">
        <f>IF(Tabla1[[#This Row],[price]]&lt;20, "Low Cost",IF(Tabla1[[#This Row],[price]]&lt;=50, "Estándar", "Premium"))</f>
        <v>Premium</v>
      </c>
    </row>
    <row r="135" spans="1:17">
      <c r="A135">
        <v>167281</v>
      </c>
      <c r="B135" t="s">
        <v>34</v>
      </c>
      <c r="C135" t="s">
        <v>35</v>
      </c>
      <c r="D135" t="s">
        <v>19</v>
      </c>
      <c r="E135" t="s">
        <v>35</v>
      </c>
      <c r="F135">
        <v>892</v>
      </c>
      <c r="G135" t="s">
        <v>20</v>
      </c>
      <c r="H135" t="s">
        <v>662</v>
      </c>
      <c r="I135" t="s">
        <v>663</v>
      </c>
      <c r="J135" t="s">
        <v>664</v>
      </c>
      <c r="K135" t="s">
        <v>665</v>
      </c>
      <c r="L135" s="1">
        <v>59.9</v>
      </c>
      <c r="M135" t="s">
        <v>25</v>
      </c>
      <c r="N135" t="s">
        <v>666</v>
      </c>
      <c r="O135" t="s">
        <v>641</v>
      </c>
      <c r="P135" t="s">
        <v>28</v>
      </c>
      <c r="Q135" t="str">
        <f>IF(Tabla1[[#This Row],[price]]&lt;20, "Low Cost",IF(Tabla1[[#This Row],[price]]&lt;=50, "Estándar", "Premium"))</f>
        <v>Premium</v>
      </c>
    </row>
    <row r="136" spans="1:17">
      <c r="A136">
        <v>118578</v>
      </c>
      <c r="B136" t="s">
        <v>34</v>
      </c>
      <c r="C136" t="s">
        <v>18</v>
      </c>
      <c r="D136" t="s">
        <v>19</v>
      </c>
      <c r="E136" t="s">
        <v>35</v>
      </c>
      <c r="F136">
        <v>1678</v>
      </c>
      <c r="G136" t="s">
        <v>20</v>
      </c>
      <c r="H136" t="s">
        <v>667</v>
      </c>
      <c r="I136" t="s">
        <v>668</v>
      </c>
      <c r="J136" t="s">
        <v>669</v>
      </c>
      <c r="K136" t="s">
        <v>670</v>
      </c>
      <c r="L136" s="1">
        <v>49.9</v>
      </c>
      <c r="M136" t="s">
        <v>25</v>
      </c>
      <c r="N136" t="s">
        <v>671</v>
      </c>
      <c r="O136" t="s">
        <v>641</v>
      </c>
      <c r="P136" t="s">
        <v>28</v>
      </c>
      <c r="Q136" t="str">
        <f>IF(Tabla1[[#This Row],[price]]&lt;20, "Low Cost",IF(Tabla1[[#This Row],[price]]&lt;=50, "Estándar", "Premium"))</f>
        <v>Estándar</v>
      </c>
    </row>
    <row r="137" spans="1:17">
      <c r="A137">
        <v>174041</v>
      </c>
      <c r="B137" t="s">
        <v>34</v>
      </c>
      <c r="C137" t="s">
        <v>18</v>
      </c>
      <c r="D137" t="s">
        <v>19</v>
      </c>
      <c r="E137" t="s">
        <v>18</v>
      </c>
      <c r="F137">
        <v>2016</v>
      </c>
      <c r="G137" t="s">
        <v>20</v>
      </c>
      <c r="H137" t="s">
        <v>672</v>
      </c>
      <c r="I137" t="s">
        <v>673</v>
      </c>
      <c r="J137" t="s">
        <v>674</v>
      </c>
      <c r="K137" t="s">
        <v>675</v>
      </c>
      <c r="L137" s="1">
        <v>49.9</v>
      </c>
      <c r="M137" t="s">
        <v>25</v>
      </c>
      <c r="N137" t="s">
        <v>676</v>
      </c>
      <c r="O137" t="s">
        <v>641</v>
      </c>
      <c r="P137" t="s">
        <v>28</v>
      </c>
      <c r="Q137" t="str">
        <f>IF(Tabla1[[#This Row],[price]]&lt;20, "Low Cost",IF(Tabla1[[#This Row],[price]]&lt;=50, "Estándar", "Premium"))</f>
        <v>Estándar</v>
      </c>
    </row>
    <row r="138" spans="1:17">
      <c r="A138">
        <v>127644</v>
      </c>
      <c r="B138" t="s">
        <v>56</v>
      </c>
      <c r="C138" t="s">
        <v>18</v>
      </c>
      <c r="D138" t="s">
        <v>19</v>
      </c>
      <c r="E138" t="s">
        <v>35</v>
      </c>
      <c r="F138">
        <v>1498</v>
      </c>
      <c r="G138" t="s">
        <v>20</v>
      </c>
      <c r="H138" t="s">
        <v>677</v>
      </c>
      <c r="I138" t="s">
        <v>678</v>
      </c>
      <c r="J138" t="s">
        <v>679</v>
      </c>
      <c r="K138" t="s">
        <v>680</v>
      </c>
      <c r="L138" s="1">
        <v>45.9</v>
      </c>
      <c r="M138" t="s">
        <v>25</v>
      </c>
      <c r="N138" t="s">
        <v>681</v>
      </c>
      <c r="O138" t="s">
        <v>641</v>
      </c>
      <c r="P138" t="s">
        <v>28</v>
      </c>
      <c r="Q138" t="str">
        <f>IF(Tabla1[[#This Row],[price]]&lt;20, "Low Cost",IF(Tabla1[[#This Row],[price]]&lt;=50, "Estándar", "Premium"))</f>
        <v>Estándar</v>
      </c>
    </row>
    <row r="139" spans="1:17">
      <c r="A139">
        <v>132007</v>
      </c>
      <c r="B139" t="s">
        <v>17</v>
      </c>
      <c r="C139" t="s">
        <v>18</v>
      </c>
      <c r="D139" t="s">
        <v>19</v>
      </c>
      <c r="E139" t="s">
        <v>35</v>
      </c>
      <c r="F139">
        <v>2491</v>
      </c>
      <c r="G139" t="s">
        <v>20</v>
      </c>
      <c r="H139" t="s">
        <v>682</v>
      </c>
      <c r="I139" t="s">
        <v>683</v>
      </c>
      <c r="J139" t="s">
        <v>684</v>
      </c>
      <c r="K139" t="s">
        <v>685</v>
      </c>
      <c r="L139" s="1">
        <v>9.99</v>
      </c>
      <c r="M139" t="s">
        <v>25</v>
      </c>
      <c r="N139" t="s">
        <v>686</v>
      </c>
      <c r="O139" t="s">
        <v>641</v>
      </c>
      <c r="P139" t="s">
        <v>28</v>
      </c>
      <c r="Q139" t="str">
        <f>IF(Tabla1[[#This Row],[price]]&lt;20, "Low Cost",IF(Tabla1[[#This Row],[price]]&lt;=50, "Estándar", "Premium"))</f>
        <v>Low Cost</v>
      </c>
    </row>
    <row r="140" spans="1:17">
      <c r="A140">
        <v>147998</v>
      </c>
      <c r="B140" t="s">
        <v>17</v>
      </c>
      <c r="C140" t="s">
        <v>18</v>
      </c>
      <c r="D140" t="s">
        <v>19</v>
      </c>
      <c r="E140" t="s">
        <v>18</v>
      </c>
      <c r="F140">
        <v>2556</v>
      </c>
      <c r="G140" t="s">
        <v>20</v>
      </c>
      <c r="H140" t="s">
        <v>687</v>
      </c>
      <c r="I140" t="s">
        <v>688</v>
      </c>
      <c r="J140" t="s">
        <v>689</v>
      </c>
      <c r="K140" t="s">
        <v>690</v>
      </c>
      <c r="L140" s="1">
        <v>9.99</v>
      </c>
      <c r="M140" t="s">
        <v>25</v>
      </c>
      <c r="N140" t="s">
        <v>691</v>
      </c>
      <c r="O140" t="s">
        <v>641</v>
      </c>
      <c r="P140" t="s">
        <v>28</v>
      </c>
      <c r="Q140" t="str">
        <f>IF(Tabla1[[#This Row],[price]]&lt;20, "Low Cost",IF(Tabla1[[#This Row],[price]]&lt;=50, "Estándar", "Premium"))</f>
        <v>Low Cost</v>
      </c>
    </row>
    <row r="141" spans="1:17">
      <c r="A141">
        <v>176666</v>
      </c>
      <c r="B141" t="s">
        <v>17</v>
      </c>
      <c r="C141" t="s">
        <v>35</v>
      </c>
      <c r="D141" t="s">
        <v>19</v>
      </c>
      <c r="E141" t="s">
        <v>18</v>
      </c>
      <c r="F141">
        <v>2852</v>
      </c>
      <c r="G141" t="s">
        <v>20</v>
      </c>
      <c r="H141" t="s">
        <v>692</v>
      </c>
      <c r="I141" t="s">
        <v>693</v>
      </c>
      <c r="J141" t="s">
        <v>694</v>
      </c>
      <c r="K141" t="s">
        <v>695</v>
      </c>
      <c r="L141" s="1">
        <v>45.9</v>
      </c>
      <c r="M141" t="s">
        <v>25</v>
      </c>
      <c r="N141" t="s">
        <v>696</v>
      </c>
      <c r="O141" t="s">
        <v>641</v>
      </c>
      <c r="P141" t="s">
        <v>28</v>
      </c>
      <c r="Q141" t="str">
        <f>IF(Tabla1[[#This Row],[price]]&lt;20, "Low Cost",IF(Tabla1[[#This Row],[price]]&lt;=50, "Estándar", "Premium"))</f>
        <v>Estándar</v>
      </c>
    </row>
    <row r="142" spans="1:17">
      <c r="A142">
        <v>193686</v>
      </c>
      <c r="B142" t="s">
        <v>17</v>
      </c>
      <c r="C142" t="s">
        <v>35</v>
      </c>
      <c r="D142" t="s">
        <v>19</v>
      </c>
      <c r="E142" t="s">
        <v>18</v>
      </c>
      <c r="F142">
        <v>1899</v>
      </c>
      <c r="G142" t="s">
        <v>20</v>
      </c>
      <c r="H142" t="s">
        <v>697</v>
      </c>
      <c r="I142" t="s">
        <v>698</v>
      </c>
      <c r="J142" t="s">
        <v>699</v>
      </c>
      <c r="K142" t="s">
        <v>700</v>
      </c>
      <c r="L142" s="1">
        <v>99.9</v>
      </c>
      <c r="M142" t="s">
        <v>25</v>
      </c>
      <c r="N142" t="s">
        <v>701</v>
      </c>
      <c r="O142" t="s">
        <v>641</v>
      </c>
      <c r="P142" t="s">
        <v>28</v>
      </c>
      <c r="Q142" t="str">
        <f>IF(Tabla1[[#This Row],[price]]&lt;20, "Low Cost",IF(Tabla1[[#This Row],[price]]&lt;=50, "Estándar", "Premium"))</f>
        <v>Premium</v>
      </c>
    </row>
    <row r="143" spans="1:17">
      <c r="A143">
        <v>163610</v>
      </c>
      <c r="B143" t="s">
        <v>56</v>
      </c>
      <c r="C143" t="s">
        <v>35</v>
      </c>
      <c r="D143" t="s">
        <v>19</v>
      </c>
      <c r="E143" t="s">
        <v>18</v>
      </c>
      <c r="F143">
        <v>2466</v>
      </c>
      <c r="G143" t="s">
        <v>20</v>
      </c>
      <c r="H143" t="s">
        <v>702</v>
      </c>
      <c r="I143" t="s">
        <v>703</v>
      </c>
      <c r="J143" t="s">
        <v>704</v>
      </c>
      <c r="K143" t="s">
        <v>705</v>
      </c>
      <c r="L143" s="1">
        <v>89.9</v>
      </c>
      <c r="M143" t="s">
        <v>25</v>
      </c>
      <c r="N143" t="s">
        <v>706</v>
      </c>
      <c r="O143" t="s">
        <v>641</v>
      </c>
      <c r="P143" t="s">
        <v>28</v>
      </c>
      <c r="Q143" t="str">
        <f>IF(Tabla1[[#This Row],[price]]&lt;20, "Low Cost",IF(Tabla1[[#This Row],[price]]&lt;=50, "Estándar", "Premium"))</f>
        <v>Premium</v>
      </c>
    </row>
    <row r="144" spans="1:17">
      <c r="A144">
        <v>170364</v>
      </c>
      <c r="B144" t="s">
        <v>17</v>
      </c>
      <c r="C144" t="s">
        <v>18</v>
      </c>
      <c r="D144" t="s">
        <v>19</v>
      </c>
      <c r="E144" t="s">
        <v>18</v>
      </c>
      <c r="F144">
        <v>818</v>
      </c>
      <c r="G144" t="s">
        <v>20</v>
      </c>
      <c r="H144" t="s">
        <v>707</v>
      </c>
      <c r="I144" t="s">
        <v>708</v>
      </c>
      <c r="J144" t="s">
        <v>709</v>
      </c>
      <c r="K144" t="s">
        <v>710</v>
      </c>
      <c r="L144" s="1">
        <v>45.9</v>
      </c>
      <c r="M144" t="s">
        <v>25</v>
      </c>
      <c r="N144" t="s">
        <v>711</v>
      </c>
      <c r="O144" t="s">
        <v>641</v>
      </c>
      <c r="P144" t="s">
        <v>28</v>
      </c>
      <c r="Q144" t="str">
        <f>IF(Tabla1[[#This Row],[price]]&lt;20, "Low Cost",IF(Tabla1[[#This Row],[price]]&lt;=50, "Estándar", "Premium"))</f>
        <v>Estándar</v>
      </c>
    </row>
    <row r="145" spans="1:17">
      <c r="A145">
        <v>167599</v>
      </c>
      <c r="B145" t="s">
        <v>17</v>
      </c>
      <c r="C145" t="s">
        <v>18</v>
      </c>
      <c r="D145" t="s">
        <v>19</v>
      </c>
      <c r="E145" t="s">
        <v>18</v>
      </c>
      <c r="F145">
        <v>1500</v>
      </c>
      <c r="G145" t="s">
        <v>20</v>
      </c>
      <c r="H145" t="s">
        <v>712</v>
      </c>
      <c r="I145" t="s">
        <v>713</v>
      </c>
      <c r="J145" t="s">
        <v>714</v>
      </c>
      <c r="K145" t="s">
        <v>715</v>
      </c>
      <c r="L145" s="1">
        <v>59.9</v>
      </c>
      <c r="M145" t="s">
        <v>25</v>
      </c>
      <c r="N145" t="s">
        <v>716</v>
      </c>
      <c r="O145" t="s">
        <v>641</v>
      </c>
      <c r="P145" t="s">
        <v>28</v>
      </c>
      <c r="Q145" t="str">
        <f>IF(Tabla1[[#This Row],[price]]&lt;20, "Low Cost",IF(Tabla1[[#This Row],[price]]&lt;=50, "Estándar", "Premium"))</f>
        <v>Premium</v>
      </c>
    </row>
    <row r="146" spans="1:17">
      <c r="A146">
        <v>166421</v>
      </c>
      <c r="B146" t="s">
        <v>34</v>
      </c>
      <c r="C146" t="s">
        <v>35</v>
      </c>
      <c r="D146" t="s">
        <v>19</v>
      </c>
      <c r="E146" t="s">
        <v>18</v>
      </c>
      <c r="F146">
        <v>2878</v>
      </c>
      <c r="G146" t="s">
        <v>20</v>
      </c>
      <c r="H146" t="s">
        <v>717</v>
      </c>
      <c r="I146" t="s">
        <v>718</v>
      </c>
      <c r="J146" t="s">
        <v>719</v>
      </c>
      <c r="K146" t="s">
        <v>720</v>
      </c>
      <c r="L146" s="1">
        <v>79.900000000000006</v>
      </c>
      <c r="M146" t="s">
        <v>25</v>
      </c>
      <c r="N146" t="s">
        <v>721</v>
      </c>
      <c r="O146" t="s">
        <v>641</v>
      </c>
      <c r="P146" t="s">
        <v>28</v>
      </c>
      <c r="Q146" t="str">
        <f>IF(Tabla1[[#This Row],[price]]&lt;20, "Low Cost",IF(Tabla1[[#This Row],[price]]&lt;=50, "Estándar", "Premium"))</f>
        <v>Premium</v>
      </c>
    </row>
    <row r="147" spans="1:17">
      <c r="A147">
        <v>129247</v>
      </c>
      <c r="B147" t="s">
        <v>56</v>
      </c>
      <c r="C147" t="s">
        <v>35</v>
      </c>
      <c r="D147" t="s">
        <v>19</v>
      </c>
      <c r="E147" t="s">
        <v>18</v>
      </c>
      <c r="F147">
        <v>2386</v>
      </c>
      <c r="G147" t="s">
        <v>20</v>
      </c>
      <c r="H147" t="s">
        <v>722</v>
      </c>
      <c r="I147" t="s">
        <v>723</v>
      </c>
      <c r="J147" t="s">
        <v>724</v>
      </c>
      <c r="K147" t="s">
        <v>725</v>
      </c>
      <c r="L147" s="1">
        <v>69.900000000000006</v>
      </c>
      <c r="M147" t="s">
        <v>25</v>
      </c>
      <c r="N147" t="s">
        <v>726</v>
      </c>
      <c r="O147" t="s">
        <v>641</v>
      </c>
      <c r="P147" t="s">
        <v>28</v>
      </c>
      <c r="Q147" t="str">
        <f>IF(Tabla1[[#This Row],[price]]&lt;20, "Low Cost",IF(Tabla1[[#This Row],[price]]&lt;=50, "Estándar", "Premium"))</f>
        <v>Premium</v>
      </c>
    </row>
    <row r="148" spans="1:17">
      <c r="A148">
        <v>127314</v>
      </c>
      <c r="B148" t="s">
        <v>34</v>
      </c>
      <c r="C148" t="s">
        <v>35</v>
      </c>
      <c r="D148" t="s">
        <v>19</v>
      </c>
      <c r="E148" t="s">
        <v>35</v>
      </c>
      <c r="F148">
        <v>2076</v>
      </c>
      <c r="G148" t="s">
        <v>20</v>
      </c>
      <c r="H148" t="s">
        <v>727</v>
      </c>
      <c r="I148" t="s">
        <v>728</v>
      </c>
      <c r="J148" t="s">
        <v>729</v>
      </c>
      <c r="K148" t="s">
        <v>730</v>
      </c>
      <c r="L148" s="1">
        <v>99.9</v>
      </c>
      <c r="M148" t="s">
        <v>25</v>
      </c>
      <c r="N148" t="s">
        <v>731</v>
      </c>
      <c r="O148" t="s">
        <v>641</v>
      </c>
      <c r="P148" t="s">
        <v>28</v>
      </c>
      <c r="Q148" t="str">
        <f>IF(Tabla1[[#This Row],[price]]&lt;20, "Low Cost",IF(Tabla1[[#This Row],[price]]&lt;=50, "Estándar", "Premium"))</f>
        <v>Premium</v>
      </c>
    </row>
    <row r="149" spans="1:17">
      <c r="A149">
        <v>111979</v>
      </c>
      <c r="B149" t="s">
        <v>56</v>
      </c>
      <c r="C149" t="s">
        <v>18</v>
      </c>
      <c r="D149" t="s">
        <v>19</v>
      </c>
      <c r="E149" t="s">
        <v>18</v>
      </c>
      <c r="F149">
        <v>2734</v>
      </c>
      <c r="G149" t="s">
        <v>20</v>
      </c>
      <c r="H149" t="s">
        <v>732</v>
      </c>
      <c r="I149" t="s">
        <v>733</v>
      </c>
      <c r="J149" t="s">
        <v>734</v>
      </c>
      <c r="K149" t="s">
        <v>735</v>
      </c>
      <c r="L149" s="1">
        <v>59.9</v>
      </c>
      <c r="M149" t="s">
        <v>25</v>
      </c>
      <c r="N149" t="s">
        <v>736</v>
      </c>
      <c r="O149" t="s">
        <v>641</v>
      </c>
      <c r="P149" t="s">
        <v>28</v>
      </c>
      <c r="Q149" t="str">
        <f>IF(Tabla1[[#This Row],[price]]&lt;20, "Low Cost",IF(Tabla1[[#This Row],[price]]&lt;=50, "Estándar", "Premium"))</f>
        <v>Premium</v>
      </c>
    </row>
    <row r="150" spans="1:17">
      <c r="A150">
        <v>120354</v>
      </c>
      <c r="B150" t="s">
        <v>17</v>
      </c>
      <c r="C150" t="s">
        <v>35</v>
      </c>
      <c r="D150" t="s">
        <v>19</v>
      </c>
      <c r="E150" t="s">
        <v>18</v>
      </c>
      <c r="F150">
        <v>2836</v>
      </c>
      <c r="G150" t="s">
        <v>20</v>
      </c>
      <c r="H150" t="s">
        <v>737</v>
      </c>
      <c r="I150" t="s">
        <v>738</v>
      </c>
      <c r="J150" t="s">
        <v>739</v>
      </c>
      <c r="K150" t="s">
        <v>740</v>
      </c>
      <c r="L150" s="1">
        <v>59.9</v>
      </c>
      <c r="M150" t="s">
        <v>25</v>
      </c>
      <c r="N150" t="s">
        <v>741</v>
      </c>
      <c r="O150" t="s">
        <v>641</v>
      </c>
      <c r="P150" t="s">
        <v>28</v>
      </c>
      <c r="Q150" t="str">
        <f>IF(Tabla1[[#This Row],[price]]&lt;20, "Low Cost",IF(Tabla1[[#This Row],[price]]&lt;=50, "Estándar", "Premium"))</f>
        <v>Premium</v>
      </c>
    </row>
    <row r="151" spans="1:17">
      <c r="A151">
        <v>144848</v>
      </c>
      <c r="B151" t="s">
        <v>56</v>
      </c>
      <c r="C151" t="s">
        <v>18</v>
      </c>
      <c r="D151" t="s">
        <v>19</v>
      </c>
      <c r="E151" t="s">
        <v>18</v>
      </c>
      <c r="F151">
        <v>2193</v>
      </c>
      <c r="G151" t="s">
        <v>20</v>
      </c>
      <c r="H151" t="s">
        <v>742</v>
      </c>
      <c r="I151" t="s">
        <v>743</v>
      </c>
      <c r="J151" t="s">
        <v>744</v>
      </c>
      <c r="K151" t="s">
        <v>745</v>
      </c>
      <c r="L151" s="1">
        <v>89.9</v>
      </c>
      <c r="M151" t="s">
        <v>25</v>
      </c>
      <c r="N151" t="s">
        <v>746</v>
      </c>
      <c r="O151" t="s">
        <v>641</v>
      </c>
      <c r="P151" t="s">
        <v>28</v>
      </c>
      <c r="Q151" t="str">
        <f>IF(Tabla1[[#This Row],[price]]&lt;20, "Low Cost",IF(Tabla1[[#This Row],[price]]&lt;=50, "Estándar", "Premium"))</f>
        <v>Premium</v>
      </c>
    </row>
    <row r="152" spans="1:17">
      <c r="A152">
        <v>111957</v>
      </c>
      <c r="B152" t="s">
        <v>17</v>
      </c>
      <c r="C152" t="s">
        <v>35</v>
      </c>
      <c r="D152" t="s">
        <v>19</v>
      </c>
      <c r="E152" t="s">
        <v>18</v>
      </c>
      <c r="F152">
        <v>2164</v>
      </c>
      <c r="G152" t="s">
        <v>20</v>
      </c>
      <c r="H152" t="s">
        <v>747</v>
      </c>
      <c r="I152" t="s">
        <v>748</v>
      </c>
      <c r="J152" t="s">
        <v>749</v>
      </c>
      <c r="K152" t="s">
        <v>750</v>
      </c>
      <c r="L152" s="1">
        <v>89.9</v>
      </c>
      <c r="M152" t="s">
        <v>25</v>
      </c>
      <c r="N152" t="s">
        <v>751</v>
      </c>
      <c r="O152" t="s">
        <v>641</v>
      </c>
      <c r="P152" t="s">
        <v>28</v>
      </c>
      <c r="Q152" t="str">
        <f>IF(Tabla1[[#This Row],[price]]&lt;20, "Low Cost",IF(Tabla1[[#This Row],[price]]&lt;=50, "Estándar", "Premium"))</f>
        <v>Premium</v>
      </c>
    </row>
    <row r="153" spans="1:17">
      <c r="A153">
        <v>160763</v>
      </c>
      <c r="B153" t="s">
        <v>56</v>
      </c>
      <c r="C153" t="s">
        <v>35</v>
      </c>
      <c r="D153" t="s">
        <v>19</v>
      </c>
      <c r="E153" t="s">
        <v>35</v>
      </c>
      <c r="F153">
        <v>991</v>
      </c>
      <c r="G153" t="s">
        <v>20</v>
      </c>
      <c r="H153" t="s">
        <v>752</v>
      </c>
      <c r="I153" t="s">
        <v>753</v>
      </c>
      <c r="J153" t="s">
        <v>754</v>
      </c>
      <c r="K153" t="s">
        <v>755</v>
      </c>
      <c r="L153" s="1">
        <v>45.9</v>
      </c>
      <c r="M153" t="s">
        <v>25</v>
      </c>
      <c r="N153" t="s">
        <v>756</v>
      </c>
      <c r="O153" t="s">
        <v>641</v>
      </c>
      <c r="P153" t="s">
        <v>28</v>
      </c>
      <c r="Q153" t="str">
        <f>IF(Tabla1[[#This Row],[price]]&lt;20, "Low Cost",IF(Tabla1[[#This Row],[price]]&lt;=50, "Estándar", "Premium"))</f>
        <v>Estándar</v>
      </c>
    </row>
    <row r="154" spans="1:17">
      <c r="A154">
        <v>168270</v>
      </c>
      <c r="B154" t="s">
        <v>34</v>
      </c>
      <c r="C154" t="s">
        <v>35</v>
      </c>
      <c r="D154" t="s">
        <v>19</v>
      </c>
      <c r="E154" t="s">
        <v>35</v>
      </c>
      <c r="F154">
        <v>1525</v>
      </c>
      <c r="G154" t="s">
        <v>20</v>
      </c>
      <c r="H154" t="s">
        <v>757</v>
      </c>
      <c r="I154" t="s">
        <v>758</v>
      </c>
      <c r="J154" t="s">
        <v>674</v>
      </c>
      <c r="K154" t="s">
        <v>759</v>
      </c>
      <c r="L154" s="1">
        <v>69.900000000000006</v>
      </c>
      <c r="M154" t="s">
        <v>25</v>
      </c>
      <c r="N154" t="s">
        <v>760</v>
      </c>
      <c r="O154" t="s">
        <v>641</v>
      </c>
      <c r="P154" t="s">
        <v>28</v>
      </c>
      <c r="Q154" t="str">
        <f>IF(Tabla1[[#This Row],[price]]&lt;20, "Low Cost",IF(Tabla1[[#This Row],[price]]&lt;=50, "Estándar", "Premium"))</f>
        <v>Premium</v>
      </c>
    </row>
    <row r="155" spans="1:17">
      <c r="A155">
        <v>195082</v>
      </c>
      <c r="B155" t="s">
        <v>56</v>
      </c>
      <c r="C155" t="s">
        <v>18</v>
      </c>
      <c r="D155" t="s">
        <v>19</v>
      </c>
      <c r="E155" t="s">
        <v>18</v>
      </c>
      <c r="F155">
        <v>923</v>
      </c>
      <c r="G155" t="s">
        <v>20</v>
      </c>
      <c r="H155" t="s">
        <v>761</v>
      </c>
      <c r="I155" t="s">
        <v>762</v>
      </c>
      <c r="J155" t="s">
        <v>763</v>
      </c>
      <c r="K155" t="s">
        <v>764</v>
      </c>
      <c r="L155" s="1">
        <v>69.900000000000006</v>
      </c>
      <c r="M155" t="s">
        <v>25</v>
      </c>
      <c r="N155" t="s">
        <v>765</v>
      </c>
      <c r="O155" t="s">
        <v>641</v>
      </c>
      <c r="P155" t="s">
        <v>28</v>
      </c>
      <c r="Q155" t="str">
        <f>IF(Tabla1[[#This Row],[price]]&lt;20, "Low Cost",IF(Tabla1[[#This Row],[price]]&lt;=50, "Estándar", "Premium"))</f>
        <v>Premium</v>
      </c>
    </row>
    <row r="156" spans="1:17">
      <c r="A156">
        <v>110329</v>
      </c>
      <c r="B156" t="s">
        <v>56</v>
      </c>
      <c r="C156" t="s">
        <v>18</v>
      </c>
      <c r="D156" t="s">
        <v>19</v>
      </c>
      <c r="E156" t="s">
        <v>35</v>
      </c>
      <c r="F156">
        <v>2397</v>
      </c>
      <c r="G156" t="s">
        <v>20</v>
      </c>
      <c r="H156" t="s">
        <v>766</v>
      </c>
      <c r="I156" t="s">
        <v>767</v>
      </c>
      <c r="J156" t="s">
        <v>768</v>
      </c>
      <c r="K156" t="s">
        <v>769</v>
      </c>
      <c r="L156" s="1">
        <v>69.900000000000006</v>
      </c>
      <c r="M156" t="s">
        <v>25</v>
      </c>
      <c r="N156" t="s">
        <v>770</v>
      </c>
      <c r="O156" t="s">
        <v>641</v>
      </c>
      <c r="P156" t="s">
        <v>28</v>
      </c>
      <c r="Q156" t="str">
        <f>IF(Tabla1[[#This Row],[price]]&lt;20, "Low Cost",IF(Tabla1[[#This Row],[price]]&lt;=50, "Estándar", "Premium"))</f>
        <v>Premium</v>
      </c>
    </row>
    <row r="157" spans="1:17">
      <c r="A157">
        <v>147449</v>
      </c>
      <c r="B157" t="s">
        <v>34</v>
      </c>
      <c r="C157" t="s">
        <v>18</v>
      </c>
      <c r="D157" t="s">
        <v>19</v>
      </c>
      <c r="E157" t="s">
        <v>18</v>
      </c>
      <c r="F157">
        <v>1191</v>
      </c>
      <c r="G157" t="s">
        <v>20</v>
      </c>
      <c r="H157" t="s">
        <v>771</v>
      </c>
      <c r="I157" t="s">
        <v>772</v>
      </c>
      <c r="J157" t="s">
        <v>773</v>
      </c>
      <c r="K157" t="s">
        <v>774</v>
      </c>
      <c r="L157" s="1">
        <v>69.900000000000006</v>
      </c>
      <c r="M157" t="s">
        <v>25</v>
      </c>
      <c r="N157" t="s">
        <v>775</v>
      </c>
      <c r="O157" t="s">
        <v>641</v>
      </c>
      <c r="P157" t="s">
        <v>28</v>
      </c>
      <c r="Q157" t="str">
        <f>IF(Tabla1[[#This Row],[price]]&lt;20, "Low Cost",IF(Tabla1[[#This Row],[price]]&lt;=50, "Estándar", "Premium"))</f>
        <v>Premium</v>
      </c>
    </row>
    <row r="158" spans="1:17">
      <c r="A158">
        <v>193332</v>
      </c>
      <c r="B158" t="s">
        <v>17</v>
      </c>
      <c r="C158" t="s">
        <v>35</v>
      </c>
      <c r="D158" t="s">
        <v>19</v>
      </c>
      <c r="E158" t="s">
        <v>18</v>
      </c>
      <c r="F158">
        <v>1237</v>
      </c>
      <c r="G158" t="s">
        <v>20</v>
      </c>
      <c r="H158" t="s">
        <v>776</v>
      </c>
      <c r="I158" t="s">
        <v>777</v>
      </c>
      <c r="J158" t="s">
        <v>778</v>
      </c>
      <c r="K158" t="s">
        <v>779</v>
      </c>
      <c r="L158" s="1">
        <v>49.9</v>
      </c>
      <c r="M158" t="s">
        <v>25</v>
      </c>
      <c r="N158" t="s">
        <v>780</v>
      </c>
      <c r="O158" t="s">
        <v>641</v>
      </c>
      <c r="P158" t="s">
        <v>28</v>
      </c>
      <c r="Q158" t="str">
        <f>IF(Tabla1[[#This Row],[price]]&lt;20, "Low Cost",IF(Tabla1[[#This Row],[price]]&lt;=50, "Estándar", "Premium"))</f>
        <v>Estándar</v>
      </c>
    </row>
    <row r="159" spans="1:17">
      <c r="A159">
        <v>146804</v>
      </c>
      <c r="B159" t="s">
        <v>17</v>
      </c>
      <c r="C159" t="s">
        <v>35</v>
      </c>
      <c r="D159" t="s">
        <v>19</v>
      </c>
      <c r="E159" t="s">
        <v>18</v>
      </c>
      <c r="F159">
        <v>1504</v>
      </c>
      <c r="G159" t="s">
        <v>20</v>
      </c>
      <c r="H159" t="s">
        <v>781</v>
      </c>
      <c r="I159" t="s">
        <v>782</v>
      </c>
      <c r="J159" t="s">
        <v>724</v>
      </c>
      <c r="K159" t="s">
        <v>783</v>
      </c>
      <c r="L159" s="1">
        <v>69.900000000000006</v>
      </c>
      <c r="M159" t="s">
        <v>25</v>
      </c>
      <c r="N159" t="s">
        <v>784</v>
      </c>
      <c r="O159" t="s">
        <v>641</v>
      </c>
      <c r="P159" t="s">
        <v>28</v>
      </c>
      <c r="Q159" t="str">
        <f>IF(Tabla1[[#This Row],[price]]&lt;20, "Low Cost",IF(Tabla1[[#This Row],[price]]&lt;=50, "Estándar", "Premium"))</f>
        <v>Premium</v>
      </c>
    </row>
    <row r="160" spans="1:17">
      <c r="A160">
        <v>188909</v>
      </c>
      <c r="B160" t="s">
        <v>17</v>
      </c>
      <c r="C160" t="s">
        <v>35</v>
      </c>
      <c r="D160" t="s">
        <v>19</v>
      </c>
      <c r="E160" t="s">
        <v>35</v>
      </c>
      <c r="F160">
        <v>2863</v>
      </c>
      <c r="G160" t="s">
        <v>20</v>
      </c>
      <c r="H160" t="s">
        <v>785</v>
      </c>
      <c r="I160" t="s">
        <v>786</v>
      </c>
      <c r="J160" t="s">
        <v>787</v>
      </c>
      <c r="K160" t="s">
        <v>788</v>
      </c>
      <c r="L160" s="1">
        <v>39.9</v>
      </c>
      <c r="M160" t="s">
        <v>25</v>
      </c>
      <c r="N160" t="s">
        <v>789</v>
      </c>
      <c r="O160" t="s">
        <v>790</v>
      </c>
      <c r="P160" t="s">
        <v>791</v>
      </c>
      <c r="Q160" t="str">
        <f>IF(Tabla1[[#This Row],[price]]&lt;20, "Low Cost",IF(Tabla1[[#This Row],[price]]&lt;=50, "Estándar", "Premium"))</f>
        <v>Estándar</v>
      </c>
    </row>
    <row r="161" spans="1:17">
      <c r="A161">
        <v>165910</v>
      </c>
      <c r="B161" t="s">
        <v>34</v>
      </c>
      <c r="C161" t="s">
        <v>35</v>
      </c>
      <c r="D161" t="s">
        <v>19</v>
      </c>
      <c r="E161" t="s">
        <v>18</v>
      </c>
      <c r="F161">
        <v>2760</v>
      </c>
      <c r="G161" t="s">
        <v>20</v>
      </c>
      <c r="H161" t="s">
        <v>792</v>
      </c>
      <c r="I161" t="s">
        <v>793</v>
      </c>
      <c r="J161" t="s">
        <v>794</v>
      </c>
      <c r="K161" t="s">
        <v>795</v>
      </c>
      <c r="L161" s="1">
        <v>69.900000000000006</v>
      </c>
      <c r="M161" t="s">
        <v>25</v>
      </c>
      <c r="N161" t="s">
        <v>796</v>
      </c>
      <c r="O161" t="s">
        <v>790</v>
      </c>
      <c r="P161" t="s">
        <v>791</v>
      </c>
      <c r="Q161" t="str">
        <f>IF(Tabla1[[#This Row],[price]]&lt;20, "Low Cost",IF(Tabla1[[#This Row],[price]]&lt;=50, "Estándar", "Premium"))</f>
        <v>Premium</v>
      </c>
    </row>
    <row r="162" spans="1:17">
      <c r="A162">
        <v>136738</v>
      </c>
      <c r="B162" t="s">
        <v>56</v>
      </c>
      <c r="C162" t="s">
        <v>18</v>
      </c>
      <c r="D162" t="s">
        <v>19</v>
      </c>
      <c r="E162" t="s">
        <v>35</v>
      </c>
      <c r="F162">
        <v>542</v>
      </c>
      <c r="G162" t="s">
        <v>20</v>
      </c>
      <c r="H162" t="s">
        <v>797</v>
      </c>
      <c r="I162" t="s">
        <v>798</v>
      </c>
      <c r="J162" t="s">
        <v>799</v>
      </c>
      <c r="K162" t="s">
        <v>800</v>
      </c>
      <c r="L162" s="1">
        <v>7.99</v>
      </c>
      <c r="M162" t="s">
        <v>25</v>
      </c>
      <c r="N162" t="s">
        <v>801</v>
      </c>
      <c r="O162" t="s">
        <v>790</v>
      </c>
      <c r="P162" t="s">
        <v>791</v>
      </c>
      <c r="Q162" t="str">
        <f>IF(Tabla1[[#This Row],[price]]&lt;20, "Low Cost",IF(Tabla1[[#This Row],[price]]&lt;=50, "Estándar", "Premium"))</f>
        <v>Low Cost</v>
      </c>
    </row>
    <row r="163" spans="1:17">
      <c r="A163">
        <v>144497</v>
      </c>
      <c r="B163" t="s">
        <v>34</v>
      </c>
      <c r="C163" t="s">
        <v>35</v>
      </c>
      <c r="D163" t="s">
        <v>19</v>
      </c>
      <c r="E163" t="s">
        <v>35</v>
      </c>
      <c r="F163">
        <v>1105</v>
      </c>
      <c r="G163" t="s">
        <v>20</v>
      </c>
      <c r="H163" t="s">
        <v>802</v>
      </c>
      <c r="I163" t="s">
        <v>803</v>
      </c>
      <c r="J163" t="s">
        <v>804</v>
      </c>
      <c r="K163" t="s">
        <v>805</v>
      </c>
      <c r="L163" s="1">
        <v>49.9</v>
      </c>
      <c r="M163" t="s">
        <v>25</v>
      </c>
      <c r="N163" t="s">
        <v>806</v>
      </c>
      <c r="O163" t="s">
        <v>790</v>
      </c>
      <c r="P163" t="s">
        <v>791</v>
      </c>
      <c r="Q163" t="str">
        <f>IF(Tabla1[[#This Row],[price]]&lt;20, "Low Cost",IF(Tabla1[[#This Row],[price]]&lt;=50, "Estándar", "Premium"))</f>
        <v>Estándar</v>
      </c>
    </row>
    <row r="164" spans="1:17">
      <c r="A164">
        <v>135036</v>
      </c>
      <c r="B164" t="s">
        <v>34</v>
      </c>
      <c r="C164" t="s">
        <v>35</v>
      </c>
      <c r="D164" t="s">
        <v>19</v>
      </c>
      <c r="E164" t="s">
        <v>18</v>
      </c>
      <c r="F164">
        <v>1435</v>
      </c>
      <c r="G164" t="s">
        <v>20</v>
      </c>
      <c r="H164" t="s">
        <v>807</v>
      </c>
      <c r="I164" t="s">
        <v>808</v>
      </c>
      <c r="J164" t="s">
        <v>809</v>
      </c>
      <c r="K164" t="s">
        <v>810</v>
      </c>
      <c r="L164" s="1">
        <v>49.9</v>
      </c>
      <c r="M164" t="s">
        <v>25</v>
      </c>
      <c r="N164" t="s">
        <v>811</v>
      </c>
      <c r="O164" t="s">
        <v>790</v>
      </c>
      <c r="P164" t="s">
        <v>791</v>
      </c>
      <c r="Q164" t="str">
        <f>IF(Tabla1[[#This Row],[price]]&lt;20, "Low Cost",IF(Tabla1[[#This Row],[price]]&lt;=50, "Estándar", "Premium"))</f>
        <v>Estándar</v>
      </c>
    </row>
    <row r="165" spans="1:17">
      <c r="A165">
        <v>166331</v>
      </c>
      <c r="B165" t="s">
        <v>17</v>
      </c>
      <c r="C165" t="s">
        <v>35</v>
      </c>
      <c r="D165" t="s">
        <v>19</v>
      </c>
      <c r="E165" t="s">
        <v>35</v>
      </c>
      <c r="F165">
        <v>2877</v>
      </c>
      <c r="G165" t="s">
        <v>20</v>
      </c>
      <c r="H165" t="s">
        <v>812</v>
      </c>
      <c r="I165" t="s">
        <v>813</v>
      </c>
      <c r="J165" t="s">
        <v>814</v>
      </c>
      <c r="K165" t="s">
        <v>815</v>
      </c>
      <c r="L165" s="1">
        <v>59.9</v>
      </c>
      <c r="M165" t="s">
        <v>25</v>
      </c>
      <c r="N165" t="s">
        <v>816</v>
      </c>
      <c r="O165" t="s">
        <v>790</v>
      </c>
      <c r="P165" t="s">
        <v>791</v>
      </c>
      <c r="Q165" t="str">
        <f>IF(Tabla1[[#This Row],[price]]&lt;20, "Low Cost",IF(Tabla1[[#This Row],[price]]&lt;=50, "Estándar", "Premium"))</f>
        <v>Premium</v>
      </c>
    </row>
    <row r="166" spans="1:17">
      <c r="A166">
        <v>139789</v>
      </c>
      <c r="B166" t="s">
        <v>17</v>
      </c>
      <c r="C166" t="s">
        <v>18</v>
      </c>
      <c r="D166" t="s">
        <v>19</v>
      </c>
      <c r="E166" t="s">
        <v>35</v>
      </c>
      <c r="F166">
        <v>1094</v>
      </c>
      <c r="G166" t="s">
        <v>20</v>
      </c>
      <c r="H166" t="s">
        <v>817</v>
      </c>
      <c r="I166" t="s">
        <v>818</v>
      </c>
      <c r="J166" t="s">
        <v>819</v>
      </c>
      <c r="K166" t="s">
        <v>820</v>
      </c>
      <c r="L166" s="1">
        <v>69.900000000000006</v>
      </c>
      <c r="M166" t="s">
        <v>25</v>
      </c>
      <c r="N166" t="s">
        <v>821</v>
      </c>
      <c r="O166" t="s">
        <v>790</v>
      </c>
      <c r="P166" t="s">
        <v>791</v>
      </c>
      <c r="Q166" t="str">
        <f>IF(Tabla1[[#This Row],[price]]&lt;20, "Low Cost",IF(Tabla1[[#This Row],[price]]&lt;=50, "Estándar", "Premium"))</f>
        <v>Premium</v>
      </c>
    </row>
    <row r="167" spans="1:17">
      <c r="A167">
        <v>118569</v>
      </c>
      <c r="B167" t="s">
        <v>17</v>
      </c>
      <c r="C167" t="s">
        <v>18</v>
      </c>
      <c r="D167" t="s">
        <v>19</v>
      </c>
      <c r="E167" t="s">
        <v>35</v>
      </c>
      <c r="F167">
        <v>994</v>
      </c>
      <c r="G167" t="s">
        <v>20</v>
      </c>
      <c r="H167" t="s">
        <v>822</v>
      </c>
      <c r="I167" t="s">
        <v>823</v>
      </c>
      <c r="J167" t="s">
        <v>824</v>
      </c>
      <c r="K167" t="s">
        <v>825</v>
      </c>
      <c r="L167" s="1">
        <v>49.9</v>
      </c>
      <c r="M167" t="s">
        <v>25</v>
      </c>
      <c r="N167" t="s">
        <v>826</v>
      </c>
      <c r="O167" t="s">
        <v>790</v>
      </c>
      <c r="P167" t="s">
        <v>791</v>
      </c>
      <c r="Q167" t="str">
        <f>IF(Tabla1[[#This Row],[price]]&lt;20, "Low Cost",IF(Tabla1[[#This Row],[price]]&lt;=50, "Estándar", "Premium"))</f>
        <v>Estándar</v>
      </c>
    </row>
    <row r="168" spans="1:17">
      <c r="A168">
        <v>155848</v>
      </c>
      <c r="B168" t="s">
        <v>34</v>
      </c>
      <c r="C168" t="s">
        <v>35</v>
      </c>
      <c r="D168" t="s">
        <v>19</v>
      </c>
      <c r="E168" t="s">
        <v>18</v>
      </c>
      <c r="F168">
        <v>1942</v>
      </c>
      <c r="G168" t="s">
        <v>20</v>
      </c>
      <c r="H168" t="s">
        <v>827</v>
      </c>
      <c r="I168" t="s">
        <v>828</v>
      </c>
      <c r="J168" t="s">
        <v>829</v>
      </c>
      <c r="K168" t="s">
        <v>830</v>
      </c>
      <c r="L168" s="1">
        <v>49.9</v>
      </c>
      <c r="M168" t="s">
        <v>25</v>
      </c>
      <c r="N168" t="s">
        <v>831</v>
      </c>
      <c r="O168" t="s">
        <v>790</v>
      </c>
      <c r="P168" t="s">
        <v>791</v>
      </c>
      <c r="Q168" t="str">
        <f>IF(Tabla1[[#This Row],[price]]&lt;20, "Low Cost",IF(Tabla1[[#This Row],[price]]&lt;=50, "Estándar", "Premium"))</f>
        <v>Estándar</v>
      </c>
    </row>
    <row r="169" spans="1:17">
      <c r="A169">
        <v>152563</v>
      </c>
      <c r="B169" t="s">
        <v>56</v>
      </c>
      <c r="C169" t="s">
        <v>18</v>
      </c>
      <c r="D169" t="s">
        <v>19</v>
      </c>
      <c r="E169" t="s">
        <v>35</v>
      </c>
      <c r="F169">
        <v>2572</v>
      </c>
      <c r="G169" t="s">
        <v>20</v>
      </c>
      <c r="H169" t="s">
        <v>832</v>
      </c>
      <c r="I169" t="s">
        <v>833</v>
      </c>
      <c r="J169" t="s">
        <v>834</v>
      </c>
      <c r="K169" t="s">
        <v>835</v>
      </c>
      <c r="L169" s="1">
        <v>169</v>
      </c>
      <c r="M169" t="s">
        <v>25</v>
      </c>
      <c r="N169" t="s">
        <v>836</v>
      </c>
      <c r="O169" t="s">
        <v>790</v>
      </c>
      <c r="P169" t="s">
        <v>791</v>
      </c>
      <c r="Q169" t="str">
        <f>IF(Tabla1[[#This Row],[price]]&lt;20, "Low Cost",IF(Tabla1[[#This Row],[price]]&lt;=50, "Estándar", "Premium"))</f>
        <v>Premium</v>
      </c>
    </row>
    <row r="170" spans="1:17">
      <c r="A170">
        <v>115153</v>
      </c>
      <c r="B170" t="s">
        <v>17</v>
      </c>
      <c r="C170" t="s">
        <v>18</v>
      </c>
      <c r="D170" t="s">
        <v>19</v>
      </c>
      <c r="E170" t="s">
        <v>18</v>
      </c>
      <c r="F170">
        <v>1736</v>
      </c>
      <c r="G170" t="s">
        <v>20</v>
      </c>
      <c r="H170" t="s">
        <v>837</v>
      </c>
      <c r="I170" t="s">
        <v>838</v>
      </c>
      <c r="J170" t="s">
        <v>839</v>
      </c>
      <c r="K170" t="s">
        <v>840</v>
      </c>
      <c r="L170" s="1">
        <v>79.900000000000006</v>
      </c>
      <c r="M170" t="s">
        <v>25</v>
      </c>
      <c r="N170" t="s">
        <v>841</v>
      </c>
      <c r="O170" t="s">
        <v>790</v>
      </c>
      <c r="P170" t="s">
        <v>791</v>
      </c>
      <c r="Q170" t="str">
        <f>IF(Tabla1[[#This Row],[price]]&lt;20, "Low Cost",IF(Tabla1[[#This Row],[price]]&lt;=50, "Estándar", "Premium"))</f>
        <v>Premium</v>
      </c>
    </row>
    <row r="171" spans="1:17">
      <c r="A171">
        <v>125938</v>
      </c>
      <c r="B171" t="s">
        <v>17</v>
      </c>
      <c r="C171" t="s">
        <v>35</v>
      </c>
      <c r="D171" t="s">
        <v>19</v>
      </c>
      <c r="E171" t="s">
        <v>35</v>
      </c>
      <c r="F171">
        <v>1204</v>
      </c>
      <c r="G171" t="s">
        <v>20</v>
      </c>
      <c r="H171" t="s">
        <v>842</v>
      </c>
      <c r="I171" t="s">
        <v>843</v>
      </c>
      <c r="J171" t="s">
        <v>844</v>
      </c>
      <c r="K171" t="s">
        <v>845</v>
      </c>
      <c r="L171" s="1">
        <v>49.9</v>
      </c>
      <c r="M171" t="s">
        <v>25</v>
      </c>
      <c r="N171" t="s">
        <v>846</v>
      </c>
      <c r="O171" t="s">
        <v>790</v>
      </c>
      <c r="P171" t="s">
        <v>791</v>
      </c>
      <c r="Q171" t="str">
        <f>IF(Tabla1[[#This Row],[price]]&lt;20, "Low Cost",IF(Tabla1[[#This Row],[price]]&lt;=50, "Estándar", "Premium"))</f>
        <v>Estándar</v>
      </c>
    </row>
    <row r="172" spans="1:17">
      <c r="A172">
        <v>122809</v>
      </c>
      <c r="B172" t="s">
        <v>34</v>
      </c>
      <c r="C172" t="s">
        <v>18</v>
      </c>
      <c r="D172" t="s">
        <v>19</v>
      </c>
      <c r="E172" t="s">
        <v>35</v>
      </c>
      <c r="F172">
        <v>1592</v>
      </c>
      <c r="G172" t="s">
        <v>20</v>
      </c>
      <c r="H172" t="s">
        <v>847</v>
      </c>
      <c r="I172" t="s">
        <v>848</v>
      </c>
      <c r="J172" t="s">
        <v>849</v>
      </c>
      <c r="K172" t="s">
        <v>850</v>
      </c>
      <c r="L172" s="1">
        <v>49.9</v>
      </c>
      <c r="M172" t="s">
        <v>25</v>
      </c>
      <c r="N172" t="s">
        <v>851</v>
      </c>
      <c r="O172" t="s">
        <v>790</v>
      </c>
      <c r="P172" t="s">
        <v>791</v>
      </c>
      <c r="Q172" t="str">
        <f>IF(Tabla1[[#This Row],[price]]&lt;20, "Low Cost",IF(Tabla1[[#This Row],[price]]&lt;=50, "Estándar", "Premium"))</f>
        <v>Estándar</v>
      </c>
    </row>
    <row r="173" spans="1:17">
      <c r="A173">
        <v>181502</v>
      </c>
      <c r="B173" t="s">
        <v>56</v>
      </c>
      <c r="C173" t="s">
        <v>35</v>
      </c>
      <c r="D173" t="s">
        <v>19</v>
      </c>
      <c r="E173" t="s">
        <v>18</v>
      </c>
      <c r="F173">
        <v>2591</v>
      </c>
      <c r="G173" t="s">
        <v>20</v>
      </c>
      <c r="H173" t="s">
        <v>852</v>
      </c>
      <c r="I173" t="s">
        <v>853</v>
      </c>
      <c r="J173" t="s">
        <v>854</v>
      </c>
      <c r="K173" t="s">
        <v>855</v>
      </c>
      <c r="L173" s="1">
        <v>39.9</v>
      </c>
      <c r="M173" t="s">
        <v>25</v>
      </c>
      <c r="N173" t="s">
        <v>856</v>
      </c>
      <c r="O173" t="s">
        <v>790</v>
      </c>
      <c r="P173" t="s">
        <v>791</v>
      </c>
      <c r="Q173" t="str">
        <f>IF(Tabla1[[#This Row],[price]]&lt;20, "Low Cost",IF(Tabla1[[#This Row],[price]]&lt;=50, "Estándar", "Premium"))</f>
        <v>Estándar</v>
      </c>
    </row>
    <row r="174" spans="1:17">
      <c r="A174">
        <v>182779</v>
      </c>
      <c r="B174" t="s">
        <v>34</v>
      </c>
      <c r="C174" t="s">
        <v>35</v>
      </c>
      <c r="D174" t="s">
        <v>19</v>
      </c>
      <c r="E174" t="s">
        <v>35</v>
      </c>
      <c r="F174">
        <v>2097</v>
      </c>
      <c r="G174" t="s">
        <v>20</v>
      </c>
      <c r="H174" t="s">
        <v>857</v>
      </c>
      <c r="I174" t="s">
        <v>858</v>
      </c>
      <c r="J174" t="s">
        <v>859</v>
      </c>
      <c r="K174" t="s">
        <v>860</v>
      </c>
      <c r="L174" s="1">
        <v>35.9</v>
      </c>
      <c r="M174" t="s">
        <v>25</v>
      </c>
      <c r="N174" t="s">
        <v>861</v>
      </c>
      <c r="O174" t="s">
        <v>790</v>
      </c>
      <c r="P174" t="s">
        <v>791</v>
      </c>
      <c r="Q174" t="str">
        <f>IF(Tabla1[[#This Row],[price]]&lt;20, "Low Cost",IF(Tabla1[[#This Row],[price]]&lt;=50, "Estándar", "Premium"))</f>
        <v>Estándar</v>
      </c>
    </row>
    <row r="175" spans="1:17">
      <c r="A175">
        <v>155674</v>
      </c>
      <c r="B175" t="s">
        <v>56</v>
      </c>
      <c r="C175" t="s">
        <v>18</v>
      </c>
      <c r="D175" t="s">
        <v>19</v>
      </c>
      <c r="E175" t="s">
        <v>18</v>
      </c>
      <c r="F175">
        <v>897</v>
      </c>
      <c r="G175" t="s">
        <v>20</v>
      </c>
      <c r="H175" t="s">
        <v>862</v>
      </c>
      <c r="I175" t="s">
        <v>863</v>
      </c>
      <c r="J175" t="s">
        <v>864</v>
      </c>
      <c r="K175" t="s">
        <v>865</v>
      </c>
      <c r="L175" s="1">
        <v>49.9</v>
      </c>
      <c r="M175" t="s">
        <v>25</v>
      </c>
      <c r="N175" t="s">
        <v>866</v>
      </c>
      <c r="O175" t="s">
        <v>790</v>
      </c>
      <c r="P175" t="s">
        <v>791</v>
      </c>
      <c r="Q175" t="str">
        <f>IF(Tabla1[[#This Row],[price]]&lt;20, "Low Cost",IF(Tabla1[[#This Row],[price]]&lt;=50, "Estándar", "Premium"))</f>
        <v>Estándar</v>
      </c>
    </row>
    <row r="176" spans="1:17">
      <c r="A176">
        <v>182866</v>
      </c>
      <c r="B176" t="s">
        <v>17</v>
      </c>
      <c r="C176" t="s">
        <v>18</v>
      </c>
      <c r="D176" t="s">
        <v>19</v>
      </c>
      <c r="E176" t="s">
        <v>35</v>
      </c>
      <c r="F176">
        <v>1552</v>
      </c>
      <c r="G176" t="s">
        <v>20</v>
      </c>
      <c r="H176" t="s">
        <v>867</v>
      </c>
      <c r="I176" t="s">
        <v>868</v>
      </c>
      <c r="J176" t="s">
        <v>869</v>
      </c>
      <c r="K176" t="s">
        <v>870</v>
      </c>
      <c r="L176" s="1">
        <v>39.9</v>
      </c>
      <c r="M176" t="s">
        <v>25</v>
      </c>
      <c r="N176" t="s">
        <v>871</v>
      </c>
      <c r="O176" t="s">
        <v>790</v>
      </c>
      <c r="P176" t="s">
        <v>791</v>
      </c>
      <c r="Q176" t="str">
        <f>IF(Tabla1[[#This Row],[price]]&lt;20, "Low Cost",IF(Tabla1[[#This Row],[price]]&lt;=50, "Estándar", "Premium"))</f>
        <v>Estándar</v>
      </c>
    </row>
    <row r="177" spans="1:17">
      <c r="A177">
        <v>148230</v>
      </c>
      <c r="B177" t="s">
        <v>56</v>
      </c>
      <c r="C177" t="s">
        <v>35</v>
      </c>
      <c r="D177" t="s">
        <v>19</v>
      </c>
      <c r="E177" t="s">
        <v>18</v>
      </c>
      <c r="F177">
        <v>2494</v>
      </c>
      <c r="G177" t="s">
        <v>20</v>
      </c>
      <c r="H177" t="s">
        <v>872</v>
      </c>
      <c r="I177" t="s">
        <v>873</v>
      </c>
      <c r="J177" t="s">
        <v>874</v>
      </c>
      <c r="K177" t="s">
        <v>875</v>
      </c>
      <c r="L177" s="1">
        <v>59.9</v>
      </c>
      <c r="M177" t="s">
        <v>25</v>
      </c>
      <c r="N177" t="s">
        <v>876</v>
      </c>
      <c r="O177" t="s">
        <v>790</v>
      </c>
      <c r="P177" t="s">
        <v>791</v>
      </c>
      <c r="Q177" t="str">
        <f>IF(Tabla1[[#This Row],[price]]&lt;20, "Low Cost",IF(Tabla1[[#This Row],[price]]&lt;=50, "Estándar", "Premium"))</f>
        <v>Premium</v>
      </c>
    </row>
    <row r="178" spans="1:17">
      <c r="A178">
        <v>126979</v>
      </c>
      <c r="B178" t="s">
        <v>56</v>
      </c>
      <c r="C178" t="s">
        <v>18</v>
      </c>
      <c r="D178" t="s">
        <v>19</v>
      </c>
      <c r="E178" t="s">
        <v>18</v>
      </c>
      <c r="F178">
        <v>2141</v>
      </c>
      <c r="G178" t="s">
        <v>20</v>
      </c>
      <c r="H178" t="s">
        <v>877</v>
      </c>
      <c r="I178" t="s">
        <v>878</v>
      </c>
      <c r="J178" t="s">
        <v>879</v>
      </c>
      <c r="K178" t="s">
        <v>880</v>
      </c>
      <c r="L178" s="1">
        <v>49.9</v>
      </c>
      <c r="M178" t="s">
        <v>25</v>
      </c>
      <c r="N178" t="s">
        <v>881</v>
      </c>
      <c r="O178" t="s">
        <v>790</v>
      </c>
      <c r="P178" t="s">
        <v>791</v>
      </c>
      <c r="Q178" t="str">
        <f>IF(Tabla1[[#This Row],[price]]&lt;20, "Low Cost",IF(Tabla1[[#This Row],[price]]&lt;=50, "Estándar", "Premium"))</f>
        <v>Estándar</v>
      </c>
    </row>
    <row r="179" spans="1:17">
      <c r="A179">
        <v>135521</v>
      </c>
      <c r="B179" t="s">
        <v>34</v>
      </c>
      <c r="C179" t="s">
        <v>18</v>
      </c>
      <c r="D179" t="s">
        <v>19</v>
      </c>
      <c r="E179" t="s">
        <v>35</v>
      </c>
      <c r="F179">
        <v>2835</v>
      </c>
      <c r="G179" t="s">
        <v>20</v>
      </c>
      <c r="H179" t="s">
        <v>882</v>
      </c>
      <c r="I179" t="s">
        <v>883</v>
      </c>
      <c r="J179" t="s">
        <v>884</v>
      </c>
      <c r="K179" t="s">
        <v>885</v>
      </c>
      <c r="L179" s="1">
        <v>39.9</v>
      </c>
      <c r="M179" t="s">
        <v>25</v>
      </c>
      <c r="N179" t="s">
        <v>886</v>
      </c>
      <c r="O179" t="s">
        <v>790</v>
      </c>
      <c r="P179" t="s">
        <v>791</v>
      </c>
      <c r="Q179" t="str">
        <f>IF(Tabla1[[#This Row],[price]]&lt;20, "Low Cost",IF(Tabla1[[#This Row],[price]]&lt;=50, "Estándar", "Premium"))</f>
        <v>Estándar</v>
      </c>
    </row>
    <row r="180" spans="1:17">
      <c r="A180">
        <v>185809</v>
      </c>
      <c r="B180" t="s">
        <v>34</v>
      </c>
      <c r="C180" t="s">
        <v>18</v>
      </c>
      <c r="D180" t="s">
        <v>19</v>
      </c>
      <c r="E180" t="s">
        <v>18</v>
      </c>
      <c r="F180">
        <v>622</v>
      </c>
      <c r="G180" t="s">
        <v>20</v>
      </c>
      <c r="H180" t="s">
        <v>887</v>
      </c>
      <c r="I180" t="s">
        <v>888</v>
      </c>
      <c r="J180" t="s">
        <v>889</v>
      </c>
      <c r="K180" t="s">
        <v>890</v>
      </c>
      <c r="L180" s="1">
        <v>49.9</v>
      </c>
      <c r="M180" t="s">
        <v>25</v>
      </c>
      <c r="N180" t="s">
        <v>891</v>
      </c>
      <c r="O180" t="s">
        <v>790</v>
      </c>
      <c r="P180" t="s">
        <v>791</v>
      </c>
      <c r="Q180" t="str">
        <f>IF(Tabla1[[#This Row],[price]]&lt;20, "Low Cost",IF(Tabla1[[#This Row],[price]]&lt;=50, "Estándar", "Premium"))</f>
        <v>Estándar</v>
      </c>
    </row>
    <row r="181" spans="1:17">
      <c r="A181">
        <v>171520</v>
      </c>
      <c r="B181" t="s">
        <v>34</v>
      </c>
      <c r="C181" t="s">
        <v>35</v>
      </c>
      <c r="D181" t="s">
        <v>19</v>
      </c>
      <c r="E181" t="s">
        <v>35</v>
      </c>
      <c r="F181">
        <v>2901</v>
      </c>
      <c r="G181" t="s">
        <v>20</v>
      </c>
      <c r="H181" t="s">
        <v>892</v>
      </c>
      <c r="I181" t="s">
        <v>893</v>
      </c>
      <c r="J181" t="s">
        <v>894</v>
      </c>
      <c r="K181" t="s">
        <v>895</v>
      </c>
      <c r="L181" s="1">
        <v>47.9</v>
      </c>
      <c r="M181" t="s">
        <v>25</v>
      </c>
      <c r="N181" t="s">
        <v>896</v>
      </c>
      <c r="O181" t="s">
        <v>790</v>
      </c>
      <c r="P181" t="s">
        <v>791</v>
      </c>
      <c r="Q181" t="str">
        <f>IF(Tabla1[[#This Row],[price]]&lt;20, "Low Cost",IF(Tabla1[[#This Row],[price]]&lt;=50, "Estándar", "Premium"))</f>
        <v>Estándar</v>
      </c>
    </row>
    <row r="182" spans="1:17">
      <c r="A182">
        <v>122926</v>
      </c>
      <c r="B182" t="s">
        <v>34</v>
      </c>
      <c r="C182" t="s">
        <v>18</v>
      </c>
      <c r="D182" t="s">
        <v>19</v>
      </c>
      <c r="E182" t="s">
        <v>18</v>
      </c>
      <c r="F182">
        <v>867</v>
      </c>
      <c r="G182" t="s">
        <v>20</v>
      </c>
      <c r="H182" t="s">
        <v>897</v>
      </c>
      <c r="I182" t="s">
        <v>898</v>
      </c>
      <c r="J182" t="s">
        <v>899</v>
      </c>
      <c r="K182" t="s">
        <v>900</v>
      </c>
      <c r="L182" s="1">
        <v>45.9</v>
      </c>
      <c r="M182" t="s">
        <v>25</v>
      </c>
      <c r="N182" t="s">
        <v>901</v>
      </c>
      <c r="O182" t="s">
        <v>790</v>
      </c>
      <c r="P182" t="s">
        <v>791</v>
      </c>
      <c r="Q182" t="str">
        <f>IF(Tabla1[[#This Row],[price]]&lt;20, "Low Cost",IF(Tabla1[[#This Row],[price]]&lt;=50, "Estándar", "Premium"))</f>
        <v>Estándar</v>
      </c>
    </row>
    <row r="183" spans="1:17">
      <c r="A183">
        <v>150953</v>
      </c>
      <c r="B183" t="s">
        <v>56</v>
      </c>
      <c r="C183" t="s">
        <v>35</v>
      </c>
      <c r="D183" t="s">
        <v>19</v>
      </c>
      <c r="E183" t="s">
        <v>35</v>
      </c>
      <c r="F183">
        <v>2434</v>
      </c>
      <c r="G183" t="s">
        <v>20</v>
      </c>
      <c r="H183" t="s">
        <v>902</v>
      </c>
      <c r="I183" t="s">
        <v>903</v>
      </c>
      <c r="J183" t="s">
        <v>904</v>
      </c>
      <c r="K183" t="s">
        <v>905</v>
      </c>
      <c r="L183" s="1">
        <v>35.9</v>
      </c>
      <c r="M183" t="s">
        <v>25</v>
      </c>
      <c r="N183" t="s">
        <v>906</v>
      </c>
      <c r="O183" t="s">
        <v>790</v>
      </c>
      <c r="P183" t="s">
        <v>791</v>
      </c>
      <c r="Q183" t="str">
        <f>IF(Tabla1[[#This Row],[price]]&lt;20, "Low Cost",IF(Tabla1[[#This Row],[price]]&lt;=50, "Estándar", "Premium"))</f>
        <v>Estándar</v>
      </c>
    </row>
    <row r="184" spans="1:17">
      <c r="A184">
        <v>115873</v>
      </c>
      <c r="B184" t="s">
        <v>34</v>
      </c>
      <c r="C184" t="s">
        <v>35</v>
      </c>
      <c r="D184" t="s">
        <v>19</v>
      </c>
      <c r="E184" t="s">
        <v>35</v>
      </c>
      <c r="F184">
        <v>2606</v>
      </c>
      <c r="G184" t="s">
        <v>20</v>
      </c>
      <c r="H184" t="s">
        <v>907</v>
      </c>
      <c r="I184" t="s">
        <v>908</v>
      </c>
      <c r="J184" t="s">
        <v>909</v>
      </c>
      <c r="K184" t="s">
        <v>910</v>
      </c>
      <c r="L184" s="1">
        <v>59.9</v>
      </c>
      <c r="M184" t="s">
        <v>25</v>
      </c>
      <c r="N184" t="s">
        <v>911</v>
      </c>
      <c r="O184" t="s">
        <v>790</v>
      </c>
      <c r="P184" t="s">
        <v>791</v>
      </c>
      <c r="Q184" t="str">
        <f>IF(Tabla1[[#This Row],[price]]&lt;20, "Low Cost",IF(Tabla1[[#This Row],[price]]&lt;=50, "Estándar", "Premium"))</f>
        <v>Premium</v>
      </c>
    </row>
    <row r="185" spans="1:17">
      <c r="A185">
        <v>115581</v>
      </c>
      <c r="B185" t="s">
        <v>17</v>
      </c>
      <c r="C185" t="s">
        <v>18</v>
      </c>
      <c r="D185" t="s">
        <v>19</v>
      </c>
      <c r="E185" t="s">
        <v>35</v>
      </c>
      <c r="F185">
        <v>2728</v>
      </c>
      <c r="G185" t="s">
        <v>20</v>
      </c>
      <c r="H185" t="s">
        <v>912</v>
      </c>
      <c r="I185" t="s">
        <v>913</v>
      </c>
      <c r="J185" t="s">
        <v>914</v>
      </c>
      <c r="K185" t="s">
        <v>915</v>
      </c>
      <c r="L185" s="1">
        <v>47.9</v>
      </c>
      <c r="M185" t="s">
        <v>25</v>
      </c>
      <c r="N185" t="s">
        <v>916</v>
      </c>
      <c r="O185" t="s">
        <v>790</v>
      </c>
      <c r="P185" t="s">
        <v>791</v>
      </c>
      <c r="Q185" t="str">
        <f>IF(Tabla1[[#This Row],[price]]&lt;20, "Low Cost",IF(Tabla1[[#This Row],[price]]&lt;=50, "Estándar", "Premium"))</f>
        <v>Estándar</v>
      </c>
    </row>
    <row r="186" spans="1:17">
      <c r="A186">
        <v>183634</v>
      </c>
      <c r="B186" t="s">
        <v>56</v>
      </c>
      <c r="C186" t="s">
        <v>35</v>
      </c>
      <c r="D186" t="s">
        <v>19</v>
      </c>
      <c r="E186" t="s">
        <v>35</v>
      </c>
      <c r="F186">
        <v>2778</v>
      </c>
      <c r="G186" t="s">
        <v>20</v>
      </c>
      <c r="H186" t="s">
        <v>917</v>
      </c>
      <c r="I186" t="s">
        <v>918</v>
      </c>
      <c r="J186" t="s">
        <v>919</v>
      </c>
      <c r="K186" t="s">
        <v>920</v>
      </c>
      <c r="L186" s="1">
        <v>27.9</v>
      </c>
      <c r="M186" t="s">
        <v>25</v>
      </c>
      <c r="N186" t="s">
        <v>921</v>
      </c>
      <c r="O186" t="s">
        <v>790</v>
      </c>
      <c r="P186" t="s">
        <v>791</v>
      </c>
      <c r="Q186" t="str">
        <f>IF(Tabla1[[#This Row],[price]]&lt;20, "Low Cost",IF(Tabla1[[#This Row],[price]]&lt;=50, "Estándar", "Premium"))</f>
        <v>Estándar</v>
      </c>
    </row>
    <row r="187" spans="1:17">
      <c r="A187">
        <v>122484</v>
      </c>
      <c r="B187" t="s">
        <v>17</v>
      </c>
      <c r="C187" t="s">
        <v>35</v>
      </c>
      <c r="D187" t="s">
        <v>19</v>
      </c>
      <c r="E187" t="s">
        <v>35</v>
      </c>
      <c r="F187">
        <v>558</v>
      </c>
      <c r="G187" t="s">
        <v>20</v>
      </c>
      <c r="H187" t="s">
        <v>922</v>
      </c>
      <c r="I187" t="s">
        <v>923</v>
      </c>
      <c r="J187" t="s">
        <v>924</v>
      </c>
      <c r="K187" t="s">
        <v>925</v>
      </c>
      <c r="L187" s="1">
        <v>47.9</v>
      </c>
      <c r="M187" t="s">
        <v>25</v>
      </c>
      <c r="N187" t="s">
        <v>926</v>
      </c>
      <c r="O187" t="s">
        <v>790</v>
      </c>
      <c r="P187" t="s">
        <v>791</v>
      </c>
      <c r="Q187" t="str">
        <f>IF(Tabla1[[#This Row],[price]]&lt;20, "Low Cost",IF(Tabla1[[#This Row],[price]]&lt;=50, "Estándar", "Premium"))</f>
        <v>Estándar</v>
      </c>
    </row>
    <row r="188" spans="1:17">
      <c r="A188">
        <v>183574</v>
      </c>
      <c r="B188" t="s">
        <v>17</v>
      </c>
      <c r="C188" t="s">
        <v>35</v>
      </c>
      <c r="D188" t="s">
        <v>19</v>
      </c>
      <c r="E188" t="s">
        <v>35</v>
      </c>
      <c r="F188">
        <v>1752</v>
      </c>
      <c r="G188" t="s">
        <v>20</v>
      </c>
      <c r="H188" t="s">
        <v>927</v>
      </c>
      <c r="I188" t="s">
        <v>928</v>
      </c>
      <c r="J188" t="s">
        <v>929</v>
      </c>
      <c r="K188" t="s">
        <v>930</v>
      </c>
      <c r="L188" s="1">
        <v>47.9</v>
      </c>
      <c r="M188" t="s">
        <v>25</v>
      </c>
      <c r="N188" t="s">
        <v>931</v>
      </c>
      <c r="O188" t="s">
        <v>790</v>
      </c>
      <c r="P188" t="s">
        <v>791</v>
      </c>
      <c r="Q188" t="str">
        <f>IF(Tabla1[[#This Row],[price]]&lt;20, "Low Cost",IF(Tabla1[[#This Row],[price]]&lt;=50, "Estándar", "Premium"))</f>
        <v>Estándar</v>
      </c>
    </row>
    <row r="189" spans="1:17">
      <c r="A189">
        <v>185307</v>
      </c>
      <c r="B189" t="s">
        <v>56</v>
      </c>
      <c r="C189" t="s">
        <v>18</v>
      </c>
      <c r="D189" t="s">
        <v>19</v>
      </c>
      <c r="E189" t="s">
        <v>35</v>
      </c>
      <c r="F189">
        <v>2743</v>
      </c>
      <c r="G189" t="s">
        <v>20</v>
      </c>
      <c r="H189" t="s">
        <v>932</v>
      </c>
      <c r="I189" t="s">
        <v>933</v>
      </c>
      <c r="J189" t="s">
        <v>934</v>
      </c>
      <c r="K189" t="s">
        <v>935</v>
      </c>
      <c r="L189" s="1">
        <v>7.99</v>
      </c>
      <c r="M189" t="s">
        <v>25</v>
      </c>
      <c r="N189" t="s">
        <v>936</v>
      </c>
      <c r="O189" t="s">
        <v>790</v>
      </c>
      <c r="P189" t="s">
        <v>791</v>
      </c>
      <c r="Q189" t="str">
        <f>IF(Tabla1[[#This Row],[price]]&lt;20, "Low Cost",IF(Tabla1[[#This Row],[price]]&lt;=50, "Estándar", "Premium"))</f>
        <v>Low Cost</v>
      </c>
    </row>
    <row r="190" spans="1:17">
      <c r="A190">
        <v>118719</v>
      </c>
      <c r="B190" t="s">
        <v>34</v>
      </c>
      <c r="C190" t="s">
        <v>18</v>
      </c>
      <c r="D190" t="s">
        <v>19</v>
      </c>
      <c r="E190" t="s">
        <v>35</v>
      </c>
      <c r="F190">
        <v>1669</v>
      </c>
      <c r="G190" t="s">
        <v>20</v>
      </c>
      <c r="H190" t="s">
        <v>937</v>
      </c>
      <c r="I190" t="s">
        <v>938</v>
      </c>
      <c r="J190" t="s">
        <v>939</v>
      </c>
      <c r="K190" t="s">
        <v>940</v>
      </c>
      <c r="L190" s="1">
        <v>45.9</v>
      </c>
      <c r="M190" t="s">
        <v>25</v>
      </c>
      <c r="N190" t="s">
        <v>941</v>
      </c>
      <c r="O190" t="s">
        <v>790</v>
      </c>
      <c r="P190" t="s">
        <v>791</v>
      </c>
      <c r="Q190" t="str">
        <f>IF(Tabla1[[#This Row],[price]]&lt;20, "Low Cost",IF(Tabla1[[#This Row],[price]]&lt;=50, "Estándar", "Premium"))</f>
        <v>Estándar</v>
      </c>
    </row>
    <row r="191" spans="1:17">
      <c r="A191">
        <v>134788</v>
      </c>
      <c r="B191" t="s">
        <v>56</v>
      </c>
      <c r="C191" t="s">
        <v>18</v>
      </c>
      <c r="D191" t="s">
        <v>19</v>
      </c>
      <c r="E191" t="s">
        <v>18</v>
      </c>
      <c r="F191">
        <v>2179</v>
      </c>
      <c r="G191" t="s">
        <v>20</v>
      </c>
      <c r="H191" t="s">
        <v>942</v>
      </c>
      <c r="I191" t="s">
        <v>943</v>
      </c>
      <c r="J191" t="s">
        <v>944</v>
      </c>
      <c r="K191" t="s">
        <v>945</v>
      </c>
      <c r="L191" s="1">
        <v>45.9</v>
      </c>
      <c r="M191" t="s">
        <v>25</v>
      </c>
      <c r="N191" t="s">
        <v>946</v>
      </c>
      <c r="O191" t="s">
        <v>790</v>
      </c>
      <c r="P191" t="s">
        <v>791</v>
      </c>
      <c r="Q191" t="str">
        <f>IF(Tabla1[[#This Row],[price]]&lt;20, "Low Cost",IF(Tabla1[[#This Row],[price]]&lt;=50, "Estándar", "Premium"))</f>
        <v>Estándar</v>
      </c>
    </row>
    <row r="192" spans="1:17">
      <c r="A192">
        <v>140142</v>
      </c>
      <c r="B192" t="s">
        <v>56</v>
      </c>
      <c r="C192" t="s">
        <v>35</v>
      </c>
      <c r="D192" t="s">
        <v>19</v>
      </c>
      <c r="E192" t="s">
        <v>18</v>
      </c>
      <c r="F192">
        <v>606</v>
      </c>
      <c r="G192" t="s">
        <v>20</v>
      </c>
      <c r="H192" t="s">
        <v>947</v>
      </c>
      <c r="I192" t="s">
        <v>948</v>
      </c>
      <c r="J192" t="s">
        <v>949</v>
      </c>
      <c r="K192" t="s">
        <v>950</v>
      </c>
      <c r="L192" s="1">
        <v>49.9</v>
      </c>
      <c r="M192" t="s">
        <v>25</v>
      </c>
      <c r="N192" t="s">
        <v>951</v>
      </c>
      <c r="O192" t="s">
        <v>790</v>
      </c>
      <c r="P192" t="s">
        <v>791</v>
      </c>
      <c r="Q192" t="str">
        <f>IF(Tabla1[[#This Row],[price]]&lt;20, "Low Cost",IF(Tabla1[[#This Row],[price]]&lt;=50, "Estándar", "Premium"))</f>
        <v>Estándar</v>
      </c>
    </row>
    <row r="193" spans="1:17">
      <c r="A193">
        <v>153997</v>
      </c>
      <c r="B193" t="s">
        <v>34</v>
      </c>
      <c r="C193" t="s">
        <v>18</v>
      </c>
      <c r="D193" t="s">
        <v>19</v>
      </c>
      <c r="E193" t="s">
        <v>35</v>
      </c>
      <c r="F193">
        <v>1608</v>
      </c>
      <c r="G193" t="s">
        <v>20</v>
      </c>
      <c r="H193" t="s">
        <v>952</v>
      </c>
      <c r="I193" t="s">
        <v>953</v>
      </c>
      <c r="J193" t="s">
        <v>954</v>
      </c>
      <c r="K193" t="s">
        <v>955</v>
      </c>
      <c r="L193" s="1">
        <v>45.9</v>
      </c>
      <c r="M193" t="s">
        <v>25</v>
      </c>
      <c r="N193" t="s">
        <v>956</v>
      </c>
      <c r="O193" t="s">
        <v>790</v>
      </c>
      <c r="P193" t="s">
        <v>791</v>
      </c>
      <c r="Q193" t="str">
        <f>IF(Tabla1[[#This Row],[price]]&lt;20, "Low Cost",IF(Tabla1[[#This Row],[price]]&lt;=50, "Estándar", "Premium"))</f>
        <v>Estándar</v>
      </c>
    </row>
    <row r="194" spans="1:17">
      <c r="A194">
        <v>123230</v>
      </c>
      <c r="B194" t="s">
        <v>17</v>
      </c>
      <c r="C194" t="s">
        <v>18</v>
      </c>
      <c r="D194" t="s">
        <v>19</v>
      </c>
      <c r="E194" t="s">
        <v>35</v>
      </c>
      <c r="F194">
        <v>880</v>
      </c>
      <c r="G194" t="s">
        <v>20</v>
      </c>
      <c r="H194" t="s">
        <v>957</v>
      </c>
      <c r="I194" t="s">
        <v>958</v>
      </c>
      <c r="J194" t="s">
        <v>959</v>
      </c>
      <c r="K194" t="s">
        <v>960</v>
      </c>
      <c r="L194" s="1">
        <v>69.900000000000006</v>
      </c>
      <c r="M194" t="s">
        <v>25</v>
      </c>
      <c r="N194" t="s">
        <v>961</v>
      </c>
      <c r="O194" t="s">
        <v>27</v>
      </c>
      <c r="P194" t="s">
        <v>28</v>
      </c>
      <c r="Q194" t="str">
        <f>IF(Tabla1[[#This Row],[price]]&lt;20, "Low Cost",IF(Tabla1[[#This Row],[price]]&lt;=50, "Estándar", "Premium"))</f>
        <v>Premium</v>
      </c>
    </row>
    <row r="195" spans="1:17">
      <c r="A195">
        <v>154676</v>
      </c>
      <c r="B195" t="s">
        <v>17</v>
      </c>
      <c r="C195" t="s">
        <v>18</v>
      </c>
      <c r="D195" t="s">
        <v>19</v>
      </c>
      <c r="E195" t="s">
        <v>18</v>
      </c>
      <c r="F195">
        <v>943</v>
      </c>
      <c r="G195" t="s">
        <v>20</v>
      </c>
      <c r="H195" t="s">
        <v>962</v>
      </c>
      <c r="I195" t="s">
        <v>963</v>
      </c>
      <c r="J195" t="s">
        <v>964</v>
      </c>
      <c r="K195" t="s">
        <v>965</v>
      </c>
      <c r="L195" s="1">
        <v>69.900000000000006</v>
      </c>
      <c r="M195" t="s">
        <v>25</v>
      </c>
      <c r="N195" t="s">
        <v>966</v>
      </c>
      <c r="O195" t="s">
        <v>27</v>
      </c>
      <c r="P195" t="s">
        <v>28</v>
      </c>
      <c r="Q195" t="str">
        <f>IF(Tabla1[[#This Row],[price]]&lt;20, "Low Cost",IF(Tabla1[[#This Row],[price]]&lt;=50, "Estándar", "Premium"))</f>
        <v>Premium</v>
      </c>
    </row>
    <row r="196" spans="1:17">
      <c r="A196">
        <v>152985</v>
      </c>
      <c r="B196" t="s">
        <v>17</v>
      </c>
      <c r="C196" t="s">
        <v>35</v>
      </c>
      <c r="D196" t="s">
        <v>19</v>
      </c>
      <c r="E196" t="s">
        <v>35</v>
      </c>
      <c r="F196">
        <v>1049</v>
      </c>
      <c r="G196" t="s">
        <v>20</v>
      </c>
      <c r="H196" t="s">
        <v>967</v>
      </c>
      <c r="I196" t="s">
        <v>968</v>
      </c>
      <c r="J196" t="s">
        <v>540</v>
      </c>
      <c r="K196" t="s">
        <v>969</v>
      </c>
      <c r="L196" s="1">
        <v>89.9</v>
      </c>
      <c r="M196" t="s">
        <v>25</v>
      </c>
      <c r="N196" t="s">
        <v>970</v>
      </c>
      <c r="O196" t="s">
        <v>27</v>
      </c>
      <c r="P196" t="s">
        <v>28</v>
      </c>
      <c r="Q196" t="str">
        <f>IF(Tabla1[[#This Row],[price]]&lt;20, "Low Cost",IF(Tabla1[[#This Row],[price]]&lt;=50, "Estándar", "Premium"))</f>
        <v>Premium</v>
      </c>
    </row>
    <row r="197" spans="1:17">
      <c r="A197">
        <v>175584</v>
      </c>
      <c r="B197" t="s">
        <v>56</v>
      </c>
      <c r="C197" t="s">
        <v>18</v>
      </c>
      <c r="D197" t="s">
        <v>19</v>
      </c>
      <c r="E197" t="s">
        <v>18</v>
      </c>
      <c r="F197">
        <v>2084</v>
      </c>
      <c r="G197" t="s">
        <v>20</v>
      </c>
      <c r="H197" t="s">
        <v>971</v>
      </c>
      <c r="I197" t="s">
        <v>972</v>
      </c>
      <c r="J197" t="s">
        <v>973</v>
      </c>
      <c r="K197" t="s">
        <v>974</v>
      </c>
      <c r="L197" s="1">
        <v>69.900000000000006</v>
      </c>
      <c r="M197" t="s">
        <v>25</v>
      </c>
      <c r="N197" t="s">
        <v>975</v>
      </c>
      <c r="O197" t="s">
        <v>976</v>
      </c>
      <c r="P197" t="s">
        <v>28</v>
      </c>
      <c r="Q197" t="str">
        <f>IF(Tabla1[[#This Row],[price]]&lt;20, "Low Cost",IF(Tabla1[[#This Row],[price]]&lt;=50, "Estándar", "Premium"))</f>
        <v>Premium</v>
      </c>
    </row>
    <row r="198" spans="1:17">
      <c r="A198">
        <v>147491</v>
      </c>
      <c r="B198" t="s">
        <v>34</v>
      </c>
      <c r="C198" t="s">
        <v>18</v>
      </c>
      <c r="D198" t="s">
        <v>19</v>
      </c>
      <c r="E198" t="s">
        <v>18</v>
      </c>
      <c r="F198">
        <v>1563</v>
      </c>
      <c r="G198" t="s">
        <v>20</v>
      </c>
      <c r="H198" t="s">
        <v>977</v>
      </c>
      <c r="I198" t="s">
        <v>978</v>
      </c>
      <c r="J198" t="s">
        <v>979</v>
      </c>
      <c r="K198" t="s">
        <v>980</v>
      </c>
      <c r="L198" s="1">
        <v>59.9</v>
      </c>
      <c r="M198" t="s">
        <v>25</v>
      </c>
      <c r="N198" t="s">
        <v>981</v>
      </c>
      <c r="O198" t="s">
        <v>976</v>
      </c>
      <c r="P198" t="s">
        <v>28</v>
      </c>
      <c r="Q198" t="str">
        <f>IF(Tabla1[[#This Row],[price]]&lt;20, "Low Cost",IF(Tabla1[[#This Row],[price]]&lt;=50, "Estándar", "Premium"))</f>
        <v>Premium</v>
      </c>
    </row>
    <row r="199" spans="1:17">
      <c r="A199">
        <v>198283</v>
      </c>
      <c r="B199" t="s">
        <v>34</v>
      </c>
      <c r="C199" t="s">
        <v>35</v>
      </c>
      <c r="D199" t="s">
        <v>19</v>
      </c>
      <c r="E199" t="s">
        <v>35</v>
      </c>
      <c r="F199">
        <v>1558</v>
      </c>
      <c r="G199" t="s">
        <v>20</v>
      </c>
      <c r="H199" t="s">
        <v>982</v>
      </c>
      <c r="I199" t="s">
        <v>983</v>
      </c>
      <c r="J199" t="s">
        <v>984</v>
      </c>
      <c r="K199" t="s">
        <v>985</v>
      </c>
      <c r="L199" s="1">
        <v>69.900000000000006</v>
      </c>
      <c r="M199" t="s">
        <v>25</v>
      </c>
      <c r="N199" t="s">
        <v>986</v>
      </c>
      <c r="O199" t="s">
        <v>976</v>
      </c>
      <c r="P199" t="s">
        <v>28</v>
      </c>
      <c r="Q199" t="str">
        <f>IF(Tabla1[[#This Row],[price]]&lt;20, "Low Cost",IF(Tabla1[[#This Row],[price]]&lt;=50, "Estándar", "Premium"))</f>
        <v>Premium</v>
      </c>
    </row>
    <row r="200" spans="1:17">
      <c r="A200">
        <v>141547</v>
      </c>
      <c r="B200" t="s">
        <v>34</v>
      </c>
      <c r="C200" t="s">
        <v>18</v>
      </c>
      <c r="D200" t="s">
        <v>19</v>
      </c>
      <c r="E200" t="s">
        <v>18</v>
      </c>
      <c r="F200">
        <v>1426</v>
      </c>
      <c r="G200" t="s">
        <v>20</v>
      </c>
      <c r="H200" t="s">
        <v>987</v>
      </c>
      <c r="I200" t="s">
        <v>988</v>
      </c>
      <c r="J200" t="s">
        <v>984</v>
      </c>
      <c r="K200" t="s">
        <v>985</v>
      </c>
      <c r="L200" s="1">
        <v>69.900000000000006</v>
      </c>
      <c r="M200" t="s">
        <v>25</v>
      </c>
      <c r="N200" t="s">
        <v>989</v>
      </c>
      <c r="O200" t="s">
        <v>976</v>
      </c>
      <c r="P200" t="s">
        <v>28</v>
      </c>
      <c r="Q200" t="str">
        <f>IF(Tabla1[[#This Row],[price]]&lt;20, "Low Cost",IF(Tabla1[[#This Row],[price]]&lt;=50, "Estándar", "Premium"))</f>
        <v>Premium</v>
      </c>
    </row>
    <row r="201" spans="1:17">
      <c r="A201">
        <v>156342</v>
      </c>
      <c r="B201" t="s">
        <v>56</v>
      </c>
      <c r="C201" t="s">
        <v>35</v>
      </c>
      <c r="D201" t="s">
        <v>19</v>
      </c>
      <c r="E201" t="s">
        <v>35</v>
      </c>
      <c r="F201">
        <v>1466</v>
      </c>
      <c r="G201" t="s">
        <v>20</v>
      </c>
      <c r="H201" t="s">
        <v>990</v>
      </c>
      <c r="I201" t="s">
        <v>991</v>
      </c>
      <c r="J201" t="s">
        <v>992</v>
      </c>
      <c r="K201" t="s">
        <v>993</v>
      </c>
      <c r="L201" s="1">
        <v>109</v>
      </c>
      <c r="M201" t="s">
        <v>25</v>
      </c>
      <c r="N201" t="s">
        <v>994</v>
      </c>
      <c r="O201" t="s">
        <v>976</v>
      </c>
      <c r="P201" t="s">
        <v>28</v>
      </c>
      <c r="Q201" t="str">
        <f>IF(Tabla1[[#This Row],[price]]&lt;20, "Low Cost",IF(Tabla1[[#This Row],[price]]&lt;=50, "Estándar", "Premium"))</f>
        <v>Premium</v>
      </c>
    </row>
    <row r="202" spans="1:17">
      <c r="A202">
        <v>186083</v>
      </c>
      <c r="B202" t="s">
        <v>34</v>
      </c>
      <c r="C202" t="s">
        <v>18</v>
      </c>
      <c r="D202" t="s">
        <v>19</v>
      </c>
      <c r="E202" t="s">
        <v>35</v>
      </c>
      <c r="F202">
        <v>624</v>
      </c>
      <c r="G202" t="s">
        <v>20</v>
      </c>
      <c r="H202" t="s">
        <v>995</v>
      </c>
      <c r="I202" t="s">
        <v>996</v>
      </c>
      <c r="J202" t="s">
        <v>997</v>
      </c>
      <c r="K202" t="s">
        <v>998</v>
      </c>
      <c r="L202" s="1">
        <v>49.9</v>
      </c>
      <c r="M202" t="s">
        <v>25</v>
      </c>
      <c r="N202" t="s">
        <v>999</v>
      </c>
      <c r="O202" t="s">
        <v>976</v>
      </c>
      <c r="P202" t="s">
        <v>28</v>
      </c>
      <c r="Q202" t="str">
        <f>IF(Tabla1[[#This Row],[price]]&lt;20, "Low Cost",IF(Tabla1[[#This Row],[price]]&lt;=50, "Estándar", "Premium"))</f>
        <v>Estándar</v>
      </c>
    </row>
    <row r="203" spans="1:17">
      <c r="A203">
        <v>171776</v>
      </c>
      <c r="B203" t="s">
        <v>17</v>
      </c>
      <c r="C203" t="s">
        <v>35</v>
      </c>
      <c r="D203" t="s">
        <v>19</v>
      </c>
      <c r="E203" t="s">
        <v>18</v>
      </c>
      <c r="F203">
        <v>1685</v>
      </c>
      <c r="G203" t="s">
        <v>20</v>
      </c>
      <c r="H203" t="s">
        <v>1000</v>
      </c>
      <c r="I203" t="s">
        <v>1001</v>
      </c>
      <c r="J203" t="s">
        <v>1002</v>
      </c>
      <c r="K203" t="s">
        <v>1003</v>
      </c>
      <c r="L203" s="1">
        <v>12.99</v>
      </c>
      <c r="M203" t="s">
        <v>25</v>
      </c>
      <c r="N203" t="s">
        <v>1004</v>
      </c>
      <c r="O203" t="s">
        <v>976</v>
      </c>
      <c r="P203" t="s">
        <v>28</v>
      </c>
      <c r="Q203" t="str">
        <f>IF(Tabla1[[#This Row],[price]]&lt;20, "Low Cost",IF(Tabla1[[#This Row],[price]]&lt;=50, "Estándar", "Premium"))</f>
        <v>Low Cost</v>
      </c>
    </row>
    <row r="204" spans="1:17">
      <c r="A204">
        <v>134429</v>
      </c>
      <c r="B204" t="s">
        <v>17</v>
      </c>
      <c r="C204" t="s">
        <v>18</v>
      </c>
      <c r="D204" t="s">
        <v>19</v>
      </c>
      <c r="E204" t="s">
        <v>18</v>
      </c>
      <c r="F204">
        <v>2914</v>
      </c>
      <c r="G204" t="s">
        <v>20</v>
      </c>
      <c r="H204" t="s">
        <v>1005</v>
      </c>
      <c r="I204" t="s">
        <v>1006</v>
      </c>
      <c r="J204" t="s">
        <v>1007</v>
      </c>
      <c r="K204" t="s">
        <v>1008</v>
      </c>
      <c r="L204" s="1">
        <v>69.900000000000006</v>
      </c>
      <c r="M204" t="s">
        <v>25</v>
      </c>
      <c r="N204" t="s">
        <v>1009</v>
      </c>
      <c r="O204" t="s">
        <v>976</v>
      </c>
      <c r="P204" t="s">
        <v>28</v>
      </c>
      <c r="Q204" t="str">
        <f>IF(Tabla1[[#This Row],[price]]&lt;20, "Low Cost",IF(Tabla1[[#This Row],[price]]&lt;=50, "Estándar", "Premium"))</f>
        <v>Premium</v>
      </c>
    </row>
    <row r="205" spans="1:17">
      <c r="A205">
        <v>172816</v>
      </c>
      <c r="B205" t="s">
        <v>17</v>
      </c>
      <c r="C205" t="s">
        <v>18</v>
      </c>
      <c r="D205" t="s">
        <v>19</v>
      </c>
      <c r="E205" t="s">
        <v>35</v>
      </c>
      <c r="F205">
        <v>1524</v>
      </c>
      <c r="G205" t="s">
        <v>20</v>
      </c>
      <c r="H205" t="s">
        <v>1010</v>
      </c>
      <c r="I205" t="s">
        <v>1011</v>
      </c>
      <c r="J205" t="s">
        <v>1012</v>
      </c>
      <c r="K205" t="s">
        <v>1013</v>
      </c>
      <c r="L205" s="1">
        <v>69.900000000000006</v>
      </c>
      <c r="M205" t="s">
        <v>25</v>
      </c>
      <c r="N205" t="s">
        <v>1014</v>
      </c>
      <c r="O205" t="s">
        <v>790</v>
      </c>
      <c r="P205" t="s">
        <v>28</v>
      </c>
      <c r="Q205" t="str">
        <f>IF(Tabla1[[#This Row],[price]]&lt;20, "Low Cost",IF(Tabla1[[#This Row],[price]]&lt;=50, "Estándar", "Premium"))</f>
        <v>Premium</v>
      </c>
    </row>
    <row r="206" spans="1:17">
      <c r="A206">
        <v>136272</v>
      </c>
      <c r="B206" t="s">
        <v>34</v>
      </c>
      <c r="C206" t="s">
        <v>18</v>
      </c>
      <c r="D206" t="s">
        <v>19</v>
      </c>
      <c r="E206" t="s">
        <v>35</v>
      </c>
      <c r="F206">
        <v>2887</v>
      </c>
      <c r="G206" t="s">
        <v>20</v>
      </c>
      <c r="H206" t="s">
        <v>1015</v>
      </c>
      <c r="I206" t="s">
        <v>1016</v>
      </c>
      <c r="J206" t="s">
        <v>1017</v>
      </c>
      <c r="K206" t="s">
        <v>1018</v>
      </c>
      <c r="L206" s="1">
        <v>12.99</v>
      </c>
      <c r="M206" t="s">
        <v>25</v>
      </c>
      <c r="N206" t="s">
        <v>1019</v>
      </c>
      <c r="O206" t="s">
        <v>790</v>
      </c>
      <c r="P206" t="s">
        <v>28</v>
      </c>
      <c r="Q206" t="str">
        <f>IF(Tabla1[[#This Row],[price]]&lt;20, "Low Cost",IF(Tabla1[[#This Row],[price]]&lt;=50, "Estándar", "Premium"))</f>
        <v>Low Cost</v>
      </c>
    </row>
    <row r="207" spans="1:17">
      <c r="A207">
        <v>193227</v>
      </c>
      <c r="B207" t="s">
        <v>34</v>
      </c>
      <c r="C207" t="s">
        <v>35</v>
      </c>
      <c r="D207" t="s">
        <v>19</v>
      </c>
      <c r="E207" t="s">
        <v>35</v>
      </c>
      <c r="F207">
        <v>1778</v>
      </c>
      <c r="G207" t="s">
        <v>20</v>
      </c>
      <c r="H207" t="s">
        <v>1020</v>
      </c>
      <c r="I207" t="s">
        <v>1021</v>
      </c>
      <c r="J207" t="s">
        <v>1022</v>
      </c>
      <c r="K207" t="s">
        <v>1023</v>
      </c>
      <c r="L207" s="1">
        <v>69.900000000000006</v>
      </c>
      <c r="M207" t="s">
        <v>25</v>
      </c>
      <c r="N207" t="s">
        <v>1024</v>
      </c>
      <c r="O207" t="s">
        <v>790</v>
      </c>
      <c r="P207" t="s">
        <v>28</v>
      </c>
      <c r="Q207" t="str">
        <f>IF(Tabla1[[#This Row],[price]]&lt;20, "Low Cost",IF(Tabla1[[#This Row],[price]]&lt;=50, "Estándar", "Premium"))</f>
        <v>Premium</v>
      </c>
    </row>
    <row r="208" spans="1:17">
      <c r="A208">
        <v>165786</v>
      </c>
      <c r="B208" t="s">
        <v>34</v>
      </c>
      <c r="C208" t="s">
        <v>18</v>
      </c>
      <c r="D208" t="s">
        <v>19</v>
      </c>
      <c r="E208" t="s">
        <v>35</v>
      </c>
      <c r="F208">
        <v>1278</v>
      </c>
      <c r="G208" t="s">
        <v>20</v>
      </c>
      <c r="H208" t="s">
        <v>1025</v>
      </c>
      <c r="I208" t="s">
        <v>1026</v>
      </c>
      <c r="J208" t="s">
        <v>1027</v>
      </c>
      <c r="K208" t="s">
        <v>1028</v>
      </c>
      <c r="L208" s="1">
        <v>59.9</v>
      </c>
      <c r="M208" t="s">
        <v>25</v>
      </c>
      <c r="N208" t="s">
        <v>1029</v>
      </c>
      <c r="O208" t="s">
        <v>790</v>
      </c>
      <c r="P208" t="s">
        <v>28</v>
      </c>
      <c r="Q208" t="str">
        <f>IF(Tabla1[[#This Row],[price]]&lt;20, "Low Cost",IF(Tabla1[[#This Row],[price]]&lt;=50, "Estándar", "Premium"))</f>
        <v>Premium</v>
      </c>
    </row>
    <row r="209" spans="1:17">
      <c r="A209">
        <v>174708</v>
      </c>
      <c r="B209" t="s">
        <v>56</v>
      </c>
      <c r="C209" t="s">
        <v>18</v>
      </c>
      <c r="D209" t="s">
        <v>19</v>
      </c>
      <c r="E209" t="s">
        <v>35</v>
      </c>
      <c r="F209">
        <v>529</v>
      </c>
      <c r="G209" t="s">
        <v>20</v>
      </c>
      <c r="H209" t="s">
        <v>1030</v>
      </c>
      <c r="I209" t="s">
        <v>1031</v>
      </c>
      <c r="J209" t="s">
        <v>1032</v>
      </c>
      <c r="K209" t="s">
        <v>1033</v>
      </c>
      <c r="L209" s="1">
        <v>59.9</v>
      </c>
      <c r="M209" t="s">
        <v>25</v>
      </c>
      <c r="N209" t="s">
        <v>1034</v>
      </c>
      <c r="O209" t="s">
        <v>790</v>
      </c>
      <c r="P209" t="s">
        <v>28</v>
      </c>
      <c r="Q209" t="str">
        <f>IF(Tabla1[[#This Row],[price]]&lt;20, "Low Cost",IF(Tabla1[[#This Row],[price]]&lt;=50, "Estándar", "Premium"))</f>
        <v>Premium</v>
      </c>
    </row>
    <row r="210" spans="1:17">
      <c r="A210">
        <v>142257</v>
      </c>
      <c r="B210" t="s">
        <v>17</v>
      </c>
      <c r="C210" t="s">
        <v>35</v>
      </c>
      <c r="D210" t="s">
        <v>19</v>
      </c>
      <c r="E210" t="s">
        <v>35</v>
      </c>
      <c r="F210">
        <v>1180</v>
      </c>
      <c r="G210" t="s">
        <v>20</v>
      </c>
      <c r="H210" t="s">
        <v>1035</v>
      </c>
      <c r="I210" t="s">
        <v>1036</v>
      </c>
      <c r="J210" t="s">
        <v>1037</v>
      </c>
      <c r="K210" t="s">
        <v>1038</v>
      </c>
      <c r="L210" s="1">
        <v>19.899999999999999</v>
      </c>
      <c r="M210" t="s">
        <v>25</v>
      </c>
      <c r="N210" t="s">
        <v>1039</v>
      </c>
      <c r="O210" t="s">
        <v>1040</v>
      </c>
      <c r="P210" t="s">
        <v>28</v>
      </c>
      <c r="Q210" t="str">
        <f>IF(Tabla1[[#This Row],[price]]&lt;20, "Low Cost",IF(Tabla1[[#This Row],[price]]&lt;=50, "Estándar", "Premium"))</f>
        <v>Low Cost</v>
      </c>
    </row>
    <row r="211" spans="1:17">
      <c r="A211">
        <v>126146</v>
      </c>
      <c r="B211" t="s">
        <v>17</v>
      </c>
      <c r="C211" t="s">
        <v>18</v>
      </c>
      <c r="D211" t="s">
        <v>19</v>
      </c>
      <c r="E211" t="s">
        <v>18</v>
      </c>
      <c r="F211">
        <v>2759</v>
      </c>
      <c r="G211" t="s">
        <v>20</v>
      </c>
      <c r="H211" t="s">
        <v>1041</v>
      </c>
      <c r="I211" t="s">
        <v>1042</v>
      </c>
      <c r="J211" t="s">
        <v>1043</v>
      </c>
      <c r="K211" t="s">
        <v>1044</v>
      </c>
      <c r="L211" s="1">
        <v>39.9</v>
      </c>
      <c r="M211" t="s">
        <v>25</v>
      </c>
      <c r="N211" t="s">
        <v>1045</v>
      </c>
      <c r="O211" t="s">
        <v>1040</v>
      </c>
      <c r="P211" t="s">
        <v>28</v>
      </c>
      <c r="Q211" t="str">
        <f>IF(Tabla1[[#This Row],[price]]&lt;20, "Low Cost",IF(Tabla1[[#This Row],[price]]&lt;=50, "Estándar", "Premium"))</f>
        <v>Estándar</v>
      </c>
    </row>
    <row r="212" spans="1:17">
      <c r="A212">
        <v>129134</v>
      </c>
      <c r="B212" t="s">
        <v>17</v>
      </c>
      <c r="C212" t="s">
        <v>18</v>
      </c>
      <c r="D212" t="s">
        <v>19</v>
      </c>
      <c r="E212" t="s">
        <v>35</v>
      </c>
      <c r="F212">
        <v>1831</v>
      </c>
      <c r="G212" t="s">
        <v>20</v>
      </c>
      <c r="H212" t="s">
        <v>1046</v>
      </c>
      <c r="I212" t="s">
        <v>1047</v>
      </c>
      <c r="J212" t="s">
        <v>1048</v>
      </c>
      <c r="K212" t="s">
        <v>1049</v>
      </c>
      <c r="L212" s="1">
        <v>29.9</v>
      </c>
      <c r="M212" t="s">
        <v>25</v>
      </c>
      <c r="N212" t="s">
        <v>1050</v>
      </c>
      <c r="O212" t="s">
        <v>1040</v>
      </c>
      <c r="P212" t="s">
        <v>28</v>
      </c>
      <c r="Q212" t="str">
        <f>IF(Tabla1[[#This Row],[price]]&lt;20, "Low Cost",IF(Tabla1[[#This Row],[price]]&lt;=50, "Estándar", "Premium"))</f>
        <v>Estándar</v>
      </c>
    </row>
    <row r="213" spans="1:17">
      <c r="A213">
        <v>129898</v>
      </c>
      <c r="B213" t="s">
        <v>34</v>
      </c>
      <c r="C213" t="s">
        <v>18</v>
      </c>
      <c r="D213" t="s">
        <v>19</v>
      </c>
      <c r="E213" t="s">
        <v>18</v>
      </c>
      <c r="F213">
        <v>1866</v>
      </c>
      <c r="G213" t="s">
        <v>20</v>
      </c>
      <c r="H213" t="s">
        <v>1051</v>
      </c>
      <c r="I213" t="s">
        <v>1052</v>
      </c>
      <c r="J213" t="s">
        <v>1053</v>
      </c>
      <c r="K213" t="s">
        <v>1054</v>
      </c>
      <c r="L213" s="1">
        <v>39.9</v>
      </c>
      <c r="M213" t="s">
        <v>25</v>
      </c>
      <c r="N213" t="s">
        <v>1055</v>
      </c>
      <c r="O213" t="s">
        <v>1040</v>
      </c>
      <c r="P213" t="s">
        <v>28</v>
      </c>
      <c r="Q213" t="str">
        <f>IF(Tabla1[[#This Row],[price]]&lt;20, "Low Cost",IF(Tabla1[[#This Row],[price]]&lt;=50, "Estándar", "Premium"))</f>
        <v>Estándar</v>
      </c>
    </row>
    <row r="214" spans="1:17">
      <c r="A214">
        <v>189692</v>
      </c>
      <c r="B214" t="s">
        <v>34</v>
      </c>
      <c r="C214" t="s">
        <v>35</v>
      </c>
      <c r="D214" t="s">
        <v>19</v>
      </c>
      <c r="E214" t="s">
        <v>18</v>
      </c>
      <c r="F214">
        <v>1553</v>
      </c>
      <c r="G214" t="s">
        <v>20</v>
      </c>
      <c r="H214" t="s">
        <v>1056</v>
      </c>
      <c r="I214" t="s">
        <v>1057</v>
      </c>
      <c r="J214" t="s">
        <v>1058</v>
      </c>
      <c r="K214" t="s">
        <v>1059</v>
      </c>
      <c r="L214" s="1">
        <v>39.9</v>
      </c>
      <c r="M214" t="s">
        <v>25</v>
      </c>
      <c r="N214" t="s">
        <v>1060</v>
      </c>
      <c r="O214" t="s">
        <v>1040</v>
      </c>
      <c r="P214" t="s">
        <v>28</v>
      </c>
      <c r="Q214" t="str">
        <f>IF(Tabla1[[#This Row],[price]]&lt;20, "Low Cost",IF(Tabla1[[#This Row],[price]]&lt;=50, "Estándar", "Premium"))</f>
        <v>Estándar</v>
      </c>
    </row>
    <row r="215" spans="1:17">
      <c r="A215">
        <v>154846</v>
      </c>
      <c r="B215" t="s">
        <v>34</v>
      </c>
      <c r="C215" t="s">
        <v>35</v>
      </c>
      <c r="D215" t="s">
        <v>19</v>
      </c>
      <c r="E215" t="s">
        <v>18</v>
      </c>
      <c r="F215">
        <v>917</v>
      </c>
      <c r="G215" t="s">
        <v>20</v>
      </c>
      <c r="H215" t="s">
        <v>1061</v>
      </c>
      <c r="I215" t="s">
        <v>1062</v>
      </c>
      <c r="J215" t="s">
        <v>1063</v>
      </c>
      <c r="K215" t="s">
        <v>1064</v>
      </c>
      <c r="L215" s="1">
        <v>39.9</v>
      </c>
      <c r="M215" t="s">
        <v>25</v>
      </c>
      <c r="N215" t="s">
        <v>1065</v>
      </c>
      <c r="O215" t="s">
        <v>1040</v>
      </c>
      <c r="P215" t="s">
        <v>28</v>
      </c>
      <c r="Q215" t="str">
        <f>IF(Tabla1[[#This Row],[price]]&lt;20, "Low Cost",IF(Tabla1[[#This Row],[price]]&lt;=50, "Estándar", "Premium"))</f>
        <v>Estándar</v>
      </c>
    </row>
    <row r="216" spans="1:17">
      <c r="A216">
        <v>122307</v>
      </c>
      <c r="B216" t="s">
        <v>34</v>
      </c>
      <c r="C216" t="s">
        <v>18</v>
      </c>
      <c r="D216" t="s">
        <v>19</v>
      </c>
      <c r="E216" t="s">
        <v>18</v>
      </c>
      <c r="F216">
        <v>702</v>
      </c>
      <c r="G216" t="s">
        <v>20</v>
      </c>
      <c r="H216" t="s">
        <v>1066</v>
      </c>
      <c r="I216" t="s">
        <v>1067</v>
      </c>
      <c r="J216" t="s">
        <v>1068</v>
      </c>
      <c r="K216" t="s">
        <v>1069</v>
      </c>
      <c r="L216" s="1">
        <v>49.9</v>
      </c>
      <c r="M216" t="s">
        <v>25</v>
      </c>
      <c r="N216" t="s">
        <v>1070</v>
      </c>
      <c r="O216" t="s">
        <v>1040</v>
      </c>
      <c r="P216" t="s">
        <v>28</v>
      </c>
      <c r="Q216" t="str">
        <f>IF(Tabla1[[#This Row],[price]]&lt;20, "Low Cost",IF(Tabla1[[#This Row],[price]]&lt;=50, "Estándar", "Premium"))</f>
        <v>Estándar</v>
      </c>
    </row>
    <row r="217" spans="1:17">
      <c r="A217">
        <v>182099</v>
      </c>
      <c r="B217" t="s">
        <v>17</v>
      </c>
      <c r="C217" t="s">
        <v>35</v>
      </c>
      <c r="D217" t="s">
        <v>19</v>
      </c>
      <c r="E217" t="s">
        <v>18</v>
      </c>
      <c r="F217">
        <v>1978</v>
      </c>
      <c r="G217" t="s">
        <v>20</v>
      </c>
      <c r="H217" t="s">
        <v>1071</v>
      </c>
      <c r="I217" t="s">
        <v>1072</v>
      </c>
      <c r="J217" t="s">
        <v>1073</v>
      </c>
      <c r="K217" t="s">
        <v>1074</v>
      </c>
      <c r="L217" s="1">
        <v>39.9</v>
      </c>
      <c r="M217" t="s">
        <v>25</v>
      </c>
      <c r="N217" t="s">
        <v>1075</v>
      </c>
      <c r="O217" t="s">
        <v>1040</v>
      </c>
      <c r="P217" t="s">
        <v>28</v>
      </c>
      <c r="Q217" t="str">
        <f>IF(Tabla1[[#This Row],[price]]&lt;20, "Low Cost",IF(Tabla1[[#This Row],[price]]&lt;=50, "Estándar", "Premium"))</f>
        <v>Estándar</v>
      </c>
    </row>
    <row r="218" spans="1:17">
      <c r="A218">
        <v>159816</v>
      </c>
      <c r="B218" t="s">
        <v>56</v>
      </c>
      <c r="C218" t="s">
        <v>18</v>
      </c>
      <c r="D218" t="s">
        <v>19</v>
      </c>
      <c r="E218" t="s">
        <v>35</v>
      </c>
      <c r="F218">
        <v>1961</v>
      </c>
      <c r="G218" t="s">
        <v>20</v>
      </c>
      <c r="H218" t="s">
        <v>1076</v>
      </c>
      <c r="I218" t="s">
        <v>1077</v>
      </c>
      <c r="J218" t="s">
        <v>1078</v>
      </c>
      <c r="K218" t="s">
        <v>1079</v>
      </c>
      <c r="L218" s="1">
        <v>27.9</v>
      </c>
      <c r="M218" t="s">
        <v>25</v>
      </c>
      <c r="N218" t="s">
        <v>1080</v>
      </c>
      <c r="O218" t="s">
        <v>1040</v>
      </c>
      <c r="P218" t="s">
        <v>28</v>
      </c>
      <c r="Q218" t="str">
        <f>IF(Tabla1[[#This Row],[price]]&lt;20, "Low Cost",IF(Tabla1[[#This Row],[price]]&lt;=50, "Estándar", "Premium"))</f>
        <v>Estándar</v>
      </c>
    </row>
    <row r="219" spans="1:17">
      <c r="A219">
        <v>165326</v>
      </c>
      <c r="B219" t="s">
        <v>17</v>
      </c>
      <c r="C219" t="s">
        <v>18</v>
      </c>
      <c r="D219" t="s">
        <v>19</v>
      </c>
      <c r="E219" t="s">
        <v>18</v>
      </c>
      <c r="F219">
        <v>1188</v>
      </c>
      <c r="G219" t="s">
        <v>20</v>
      </c>
      <c r="H219" t="s">
        <v>1081</v>
      </c>
      <c r="I219" t="s">
        <v>1082</v>
      </c>
      <c r="J219" t="s">
        <v>1083</v>
      </c>
      <c r="K219" t="s">
        <v>1084</v>
      </c>
      <c r="L219" s="1">
        <v>45.9</v>
      </c>
      <c r="M219" t="s">
        <v>25</v>
      </c>
      <c r="N219" t="s">
        <v>1085</v>
      </c>
      <c r="O219" t="s">
        <v>1040</v>
      </c>
      <c r="P219" t="s">
        <v>28</v>
      </c>
      <c r="Q219" t="str">
        <f>IF(Tabla1[[#This Row],[price]]&lt;20, "Low Cost",IF(Tabla1[[#This Row],[price]]&lt;=50, "Estándar", "Premium"))</f>
        <v>Estándar</v>
      </c>
    </row>
    <row r="220" spans="1:17">
      <c r="A220">
        <v>185154</v>
      </c>
      <c r="B220" t="s">
        <v>17</v>
      </c>
      <c r="C220" t="s">
        <v>35</v>
      </c>
      <c r="D220" t="s">
        <v>19</v>
      </c>
      <c r="E220" t="s">
        <v>18</v>
      </c>
      <c r="F220">
        <v>996</v>
      </c>
      <c r="G220" t="s">
        <v>20</v>
      </c>
      <c r="H220" t="s">
        <v>1086</v>
      </c>
      <c r="I220" t="s">
        <v>1087</v>
      </c>
      <c r="J220" t="s">
        <v>1088</v>
      </c>
      <c r="K220" t="s">
        <v>1089</v>
      </c>
      <c r="L220" s="1">
        <v>39.9</v>
      </c>
      <c r="M220" t="s">
        <v>25</v>
      </c>
      <c r="N220" t="s">
        <v>1090</v>
      </c>
      <c r="O220" t="s">
        <v>1040</v>
      </c>
      <c r="P220" t="s">
        <v>28</v>
      </c>
      <c r="Q220" t="str">
        <f>IF(Tabla1[[#This Row],[price]]&lt;20, "Low Cost",IF(Tabla1[[#This Row],[price]]&lt;=50, "Estándar", "Premium"))</f>
        <v>Estándar</v>
      </c>
    </row>
    <row r="221" spans="1:17">
      <c r="A221">
        <v>141330</v>
      </c>
      <c r="B221" t="s">
        <v>17</v>
      </c>
      <c r="C221" t="s">
        <v>18</v>
      </c>
      <c r="D221" t="s">
        <v>19</v>
      </c>
      <c r="E221" t="s">
        <v>35</v>
      </c>
      <c r="F221">
        <v>1915</v>
      </c>
      <c r="G221" t="s">
        <v>20</v>
      </c>
      <c r="H221" t="s">
        <v>1091</v>
      </c>
      <c r="I221" t="s">
        <v>1092</v>
      </c>
      <c r="J221" t="s">
        <v>1093</v>
      </c>
      <c r="K221" t="s">
        <v>1094</v>
      </c>
      <c r="L221" s="1">
        <v>39.9</v>
      </c>
      <c r="M221" t="s">
        <v>25</v>
      </c>
      <c r="N221" t="s">
        <v>1095</v>
      </c>
      <c r="O221" t="s">
        <v>1040</v>
      </c>
      <c r="P221" t="s">
        <v>28</v>
      </c>
      <c r="Q221" t="str">
        <f>IF(Tabla1[[#This Row],[price]]&lt;20, "Low Cost",IF(Tabla1[[#This Row],[price]]&lt;=50, "Estándar", "Premium"))</f>
        <v>Estándar</v>
      </c>
    </row>
    <row r="222" spans="1:17">
      <c r="A222">
        <v>158958</v>
      </c>
      <c r="B222" t="s">
        <v>34</v>
      </c>
      <c r="C222" t="s">
        <v>18</v>
      </c>
      <c r="D222" t="s">
        <v>19</v>
      </c>
      <c r="E222" t="s">
        <v>18</v>
      </c>
      <c r="F222">
        <v>903</v>
      </c>
      <c r="G222" t="s">
        <v>20</v>
      </c>
      <c r="H222" t="s">
        <v>1096</v>
      </c>
      <c r="I222" t="s">
        <v>1097</v>
      </c>
      <c r="J222" t="s">
        <v>1068</v>
      </c>
      <c r="K222" t="s">
        <v>1098</v>
      </c>
      <c r="L222" s="1">
        <v>45.9</v>
      </c>
      <c r="M222" t="s">
        <v>25</v>
      </c>
      <c r="N222" t="s">
        <v>1099</v>
      </c>
      <c r="O222" t="s">
        <v>1040</v>
      </c>
      <c r="P222" t="s">
        <v>28</v>
      </c>
      <c r="Q222" t="str">
        <f>IF(Tabla1[[#This Row],[price]]&lt;20, "Low Cost",IF(Tabla1[[#This Row],[price]]&lt;=50, "Estándar", "Premium"))</f>
        <v>Estándar</v>
      </c>
    </row>
    <row r="223" spans="1:17">
      <c r="A223">
        <v>155010</v>
      </c>
      <c r="B223" t="s">
        <v>17</v>
      </c>
      <c r="C223" t="s">
        <v>35</v>
      </c>
      <c r="D223" t="s">
        <v>19</v>
      </c>
      <c r="E223" t="s">
        <v>35</v>
      </c>
      <c r="F223">
        <v>729</v>
      </c>
      <c r="G223" t="s">
        <v>20</v>
      </c>
      <c r="H223" t="s">
        <v>1100</v>
      </c>
      <c r="I223" t="s">
        <v>1101</v>
      </c>
      <c r="J223" t="s">
        <v>1102</v>
      </c>
      <c r="K223" t="s">
        <v>1103</v>
      </c>
      <c r="L223" s="1">
        <v>45.9</v>
      </c>
      <c r="M223" t="s">
        <v>25</v>
      </c>
      <c r="N223" t="s">
        <v>1104</v>
      </c>
      <c r="O223" t="s">
        <v>1040</v>
      </c>
      <c r="P223" t="s">
        <v>28</v>
      </c>
      <c r="Q223" t="str">
        <f>IF(Tabla1[[#This Row],[price]]&lt;20, "Low Cost",IF(Tabla1[[#This Row],[price]]&lt;=50, "Estándar", "Premium"))</f>
        <v>Estándar</v>
      </c>
    </row>
    <row r="224" spans="1:17">
      <c r="A224">
        <v>135857</v>
      </c>
      <c r="B224" t="s">
        <v>17</v>
      </c>
      <c r="C224" t="s">
        <v>18</v>
      </c>
      <c r="D224" t="s">
        <v>19</v>
      </c>
      <c r="E224" t="s">
        <v>35</v>
      </c>
      <c r="F224">
        <v>2045</v>
      </c>
      <c r="G224" t="s">
        <v>20</v>
      </c>
      <c r="H224" t="s">
        <v>1105</v>
      </c>
      <c r="I224" t="s">
        <v>1106</v>
      </c>
      <c r="J224" t="s">
        <v>1107</v>
      </c>
      <c r="K224" t="s">
        <v>1108</v>
      </c>
      <c r="L224" s="1">
        <v>45.9</v>
      </c>
      <c r="M224" t="s">
        <v>25</v>
      </c>
      <c r="N224" t="s">
        <v>1109</v>
      </c>
      <c r="O224" t="s">
        <v>1040</v>
      </c>
      <c r="P224" t="s">
        <v>28</v>
      </c>
      <c r="Q224" t="str">
        <f>IF(Tabla1[[#This Row],[price]]&lt;20, "Low Cost",IF(Tabla1[[#This Row],[price]]&lt;=50, "Estándar", "Premium"))</f>
        <v>Estándar</v>
      </c>
    </row>
    <row r="225" spans="1:17">
      <c r="A225">
        <v>147690</v>
      </c>
      <c r="B225" t="s">
        <v>17</v>
      </c>
      <c r="C225" t="s">
        <v>35</v>
      </c>
      <c r="D225" t="s">
        <v>19</v>
      </c>
      <c r="E225" t="s">
        <v>18</v>
      </c>
      <c r="F225">
        <v>881</v>
      </c>
      <c r="G225" t="s">
        <v>20</v>
      </c>
      <c r="H225" t="s">
        <v>1110</v>
      </c>
      <c r="I225" t="s">
        <v>1111</v>
      </c>
      <c r="J225" t="s">
        <v>1112</v>
      </c>
      <c r="K225" t="s">
        <v>1113</v>
      </c>
      <c r="L225" s="1">
        <v>39.9</v>
      </c>
      <c r="M225" t="s">
        <v>25</v>
      </c>
      <c r="N225" t="s">
        <v>1114</v>
      </c>
      <c r="O225" t="s">
        <v>1040</v>
      </c>
      <c r="P225" t="s">
        <v>28</v>
      </c>
      <c r="Q225" t="str">
        <f>IF(Tabla1[[#This Row],[price]]&lt;20, "Low Cost",IF(Tabla1[[#This Row],[price]]&lt;=50, "Estándar", "Premium"))</f>
        <v>Estándar</v>
      </c>
    </row>
    <row r="226" spans="1:17">
      <c r="A226">
        <v>130321</v>
      </c>
      <c r="B226" t="s">
        <v>34</v>
      </c>
      <c r="C226" t="s">
        <v>35</v>
      </c>
      <c r="D226" t="s">
        <v>19</v>
      </c>
      <c r="E226" t="s">
        <v>18</v>
      </c>
      <c r="F226">
        <v>2093</v>
      </c>
      <c r="G226" t="s">
        <v>20</v>
      </c>
      <c r="H226" t="s">
        <v>1115</v>
      </c>
      <c r="I226" t="s">
        <v>1116</v>
      </c>
      <c r="J226" t="s">
        <v>1117</v>
      </c>
      <c r="K226" t="s">
        <v>1118</v>
      </c>
      <c r="L226" s="1">
        <v>39.9</v>
      </c>
      <c r="M226" t="s">
        <v>25</v>
      </c>
      <c r="N226" t="s">
        <v>1119</v>
      </c>
      <c r="O226" t="s">
        <v>1040</v>
      </c>
      <c r="P226" t="s">
        <v>28</v>
      </c>
      <c r="Q226" t="str">
        <f>IF(Tabla1[[#This Row],[price]]&lt;20, "Low Cost",IF(Tabla1[[#This Row],[price]]&lt;=50, "Estándar", "Premium"))</f>
        <v>Estándar</v>
      </c>
    </row>
    <row r="227" spans="1:17">
      <c r="A227">
        <v>196752</v>
      </c>
      <c r="B227" t="s">
        <v>34</v>
      </c>
      <c r="C227" t="s">
        <v>18</v>
      </c>
      <c r="D227" t="s">
        <v>19</v>
      </c>
      <c r="E227" t="s">
        <v>18</v>
      </c>
      <c r="F227">
        <v>2227</v>
      </c>
      <c r="G227" t="s">
        <v>20</v>
      </c>
      <c r="H227" t="s">
        <v>1120</v>
      </c>
      <c r="I227" t="s">
        <v>1121</v>
      </c>
      <c r="J227" t="s">
        <v>1083</v>
      </c>
      <c r="K227" t="s">
        <v>1084</v>
      </c>
      <c r="L227" s="1">
        <v>45.9</v>
      </c>
      <c r="M227" t="s">
        <v>25</v>
      </c>
      <c r="N227" t="s">
        <v>1122</v>
      </c>
      <c r="O227" t="s">
        <v>1040</v>
      </c>
      <c r="P227" t="s">
        <v>28</v>
      </c>
      <c r="Q227" t="str">
        <f>IF(Tabla1[[#This Row],[price]]&lt;20, "Low Cost",IF(Tabla1[[#This Row],[price]]&lt;=50, "Estándar", "Premium"))</f>
        <v>Estándar</v>
      </c>
    </row>
    <row r="228" spans="1:17">
      <c r="A228">
        <v>181011</v>
      </c>
      <c r="B228" t="s">
        <v>17</v>
      </c>
      <c r="C228" t="s">
        <v>35</v>
      </c>
      <c r="D228" t="s">
        <v>19</v>
      </c>
      <c r="E228" t="s">
        <v>35</v>
      </c>
      <c r="F228">
        <v>994</v>
      </c>
      <c r="G228" t="s">
        <v>20</v>
      </c>
      <c r="H228" t="s">
        <v>837</v>
      </c>
      <c r="I228" t="s">
        <v>539</v>
      </c>
      <c r="J228" t="s">
        <v>79</v>
      </c>
      <c r="K228" t="s">
        <v>684</v>
      </c>
      <c r="L228" s="1">
        <v>89.9</v>
      </c>
      <c r="M228" t="s">
        <v>25</v>
      </c>
      <c r="N228" t="s">
        <v>789</v>
      </c>
      <c r="O228" t="s">
        <v>641</v>
      </c>
      <c r="P228" t="s">
        <v>28</v>
      </c>
      <c r="Q228" t="str">
        <f>IF(Tabla1[[#This Row],[price]]&lt;20, "Low Cost",IF(Tabla1[[#This Row],[price]]&lt;=50, "Estándar", "Premium"))</f>
        <v>Premium</v>
      </c>
    </row>
    <row r="229" spans="1:17">
      <c r="A229">
        <v>139967</v>
      </c>
      <c r="B229" t="s">
        <v>34</v>
      </c>
      <c r="C229" t="s">
        <v>18</v>
      </c>
      <c r="D229" t="s">
        <v>19</v>
      </c>
      <c r="E229" t="s">
        <v>18</v>
      </c>
      <c r="F229">
        <v>2634</v>
      </c>
      <c r="G229" t="s">
        <v>20</v>
      </c>
      <c r="H229" t="s">
        <v>842</v>
      </c>
      <c r="I229" t="s">
        <v>544</v>
      </c>
      <c r="J229" t="s">
        <v>84</v>
      </c>
      <c r="K229" t="s">
        <v>900</v>
      </c>
      <c r="L229" s="1">
        <v>69.900000000000006</v>
      </c>
      <c r="M229" t="s">
        <v>25</v>
      </c>
      <c r="N229" t="s">
        <v>796</v>
      </c>
      <c r="O229" t="s">
        <v>1040</v>
      </c>
      <c r="P229" t="s">
        <v>28</v>
      </c>
      <c r="Q229" t="str">
        <f>IF(Tabla1[[#This Row],[price]]&lt;20, "Low Cost",IF(Tabla1[[#This Row],[price]]&lt;=50, "Estándar", "Premium"))</f>
        <v>Premium</v>
      </c>
    </row>
    <row r="230" spans="1:17">
      <c r="A230">
        <v>162699</v>
      </c>
      <c r="B230" t="s">
        <v>34</v>
      </c>
      <c r="C230" t="s">
        <v>18</v>
      </c>
      <c r="D230" t="s">
        <v>19</v>
      </c>
      <c r="E230" t="s">
        <v>35</v>
      </c>
      <c r="F230">
        <v>2732</v>
      </c>
      <c r="G230" t="s">
        <v>20</v>
      </c>
      <c r="H230" t="s">
        <v>847</v>
      </c>
      <c r="I230" t="s">
        <v>548</v>
      </c>
      <c r="J230" t="s">
        <v>89</v>
      </c>
      <c r="K230" t="s">
        <v>810</v>
      </c>
      <c r="L230" s="1">
        <v>89.9</v>
      </c>
      <c r="M230" t="s">
        <v>25</v>
      </c>
      <c r="N230" t="s">
        <v>801</v>
      </c>
      <c r="O230" t="s">
        <v>790</v>
      </c>
      <c r="P230" t="s">
        <v>28</v>
      </c>
      <c r="Q230" t="str">
        <f>IF(Tabla1[[#This Row],[price]]&lt;20, "Low Cost",IF(Tabla1[[#This Row],[price]]&lt;=50, "Estándar", "Premium"))</f>
        <v>Premium</v>
      </c>
    </row>
    <row r="231" spans="1:17">
      <c r="A231">
        <v>119044</v>
      </c>
      <c r="B231" t="s">
        <v>17</v>
      </c>
      <c r="C231" t="s">
        <v>18</v>
      </c>
      <c r="D231" t="s">
        <v>19</v>
      </c>
      <c r="E231" t="s">
        <v>35</v>
      </c>
      <c r="F231">
        <v>1140</v>
      </c>
      <c r="G231" t="s">
        <v>20</v>
      </c>
      <c r="H231" t="s">
        <v>852</v>
      </c>
      <c r="I231" t="s">
        <v>553</v>
      </c>
      <c r="J231" t="s">
        <v>94</v>
      </c>
      <c r="K231" t="s">
        <v>577</v>
      </c>
      <c r="L231" s="1">
        <v>169</v>
      </c>
      <c r="M231" t="s">
        <v>25</v>
      </c>
      <c r="N231" t="s">
        <v>806</v>
      </c>
      <c r="O231" t="s">
        <v>790</v>
      </c>
      <c r="P231" t="s">
        <v>28</v>
      </c>
      <c r="Q231" t="str">
        <f>IF(Tabla1[[#This Row],[price]]&lt;20, "Low Cost",IF(Tabla1[[#This Row],[price]]&lt;=50, "Estándar", "Premium"))</f>
        <v>Premium</v>
      </c>
    </row>
    <row r="232" spans="1:17">
      <c r="A232">
        <v>121348</v>
      </c>
      <c r="B232" t="s">
        <v>34</v>
      </c>
      <c r="C232" t="s">
        <v>18</v>
      </c>
      <c r="D232" t="s">
        <v>19</v>
      </c>
      <c r="E232" t="s">
        <v>35</v>
      </c>
      <c r="F232">
        <v>1008</v>
      </c>
      <c r="G232" t="s">
        <v>20</v>
      </c>
      <c r="H232" t="s">
        <v>857</v>
      </c>
      <c r="I232" t="s">
        <v>557</v>
      </c>
      <c r="J232" t="s">
        <v>99</v>
      </c>
      <c r="K232" t="s">
        <v>582</v>
      </c>
      <c r="L232" s="1">
        <v>169</v>
      </c>
      <c r="M232" t="s">
        <v>25</v>
      </c>
      <c r="N232" t="s">
        <v>811</v>
      </c>
      <c r="O232" t="s">
        <v>1040</v>
      </c>
      <c r="P232" t="s">
        <v>28</v>
      </c>
      <c r="Q232" t="str">
        <f>IF(Tabla1[[#This Row],[price]]&lt;20, "Low Cost",IF(Tabla1[[#This Row],[price]]&lt;=50, "Estándar", "Premium"))</f>
        <v>Premium</v>
      </c>
    </row>
    <row r="233" spans="1:17">
      <c r="A233">
        <v>163982</v>
      </c>
      <c r="B233" t="s">
        <v>56</v>
      </c>
      <c r="C233" t="s">
        <v>18</v>
      </c>
      <c r="D233" t="s">
        <v>19</v>
      </c>
      <c r="E233" t="s">
        <v>18</v>
      </c>
      <c r="F233">
        <v>2685</v>
      </c>
      <c r="G233" t="s">
        <v>20</v>
      </c>
      <c r="H233" t="s">
        <v>862</v>
      </c>
      <c r="I233" t="s">
        <v>562</v>
      </c>
      <c r="J233" t="s">
        <v>104</v>
      </c>
      <c r="K233" t="s">
        <v>586</v>
      </c>
      <c r="L233" s="1">
        <v>69.900000000000006</v>
      </c>
      <c r="M233" t="s">
        <v>25</v>
      </c>
      <c r="N233" t="s">
        <v>816</v>
      </c>
      <c r="O233" t="s">
        <v>1040</v>
      </c>
      <c r="P233" t="s">
        <v>28</v>
      </c>
      <c r="Q233" t="str">
        <f>IF(Tabla1[[#This Row],[price]]&lt;20, "Low Cost",IF(Tabla1[[#This Row],[price]]&lt;=50, "Estándar", "Premium"))</f>
        <v>Premium</v>
      </c>
    </row>
    <row r="234" spans="1:17">
      <c r="A234">
        <v>185774</v>
      </c>
      <c r="B234" t="s">
        <v>34</v>
      </c>
      <c r="C234" t="s">
        <v>35</v>
      </c>
      <c r="D234" t="s">
        <v>19</v>
      </c>
      <c r="E234" t="s">
        <v>35</v>
      </c>
      <c r="F234">
        <v>1145</v>
      </c>
      <c r="G234" t="s">
        <v>20</v>
      </c>
      <c r="H234" t="s">
        <v>867</v>
      </c>
      <c r="I234" t="s">
        <v>567</v>
      </c>
      <c r="J234" t="s">
        <v>109</v>
      </c>
      <c r="K234" t="s">
        <v>590</v>
      </c>
      <c r="L234" s="1">
        <v>19.989999999999998</v>
      </c>
      <c r="M234" t="s">
        <v>25</v>
      </c>
      <c r="N234" t="s">
        <v>821</v>
      </c>
      <c r="O234" t="s">
        <v>1040</v>
      </c>
      <c r="P234" t="s">
        <v>28</v>
      </c>
      <c r="Q234" t="str">
        <f>IF(Tabla1[[#This Row],[price]]&lt;20, "Low Cost",IF(Tabla1[[#This Row],[price]]&lt;=50, "Estándar", "Premium"))</f>
        <v>Low Cost</v>
      </c>
    </row>
    <row r="235" spans="1:17">
      <c r="A235">
        <v>144651</v>
      </c>
      <c r="B235" t="s">
        <v>17</v>
      </c>
      <c r="C235" t="s">
        <v>35</v>
      </c>
      <c r="D235" t="s">
        <v>19</v>
      </c>
      <c r="E235" t="s">
        <v>18</v>
      </c>
      <c r="F235">
        <v>1791</v>
      </c>
      <c r="G235" t="s">
        <v>20</v>
      </c>
      <c r="H235" t="s">
        <v>872</v>
      </c>
      <c r="I235" t="s">
        <v>571</v>
      </c>
      <c r="J235" t="s">
        <v>114</v>
      </c>
      <c r="K235" t="s">
        <v>595</v>
      </c>
      <c r="L235" s="1">
        <v>139</v>
      </c>
      <c r="M235" t="s">
        <v>25</v>
      </c>
      <c r="N235" t="s">
        <v>826</v>
      </c>
      <c r="O235" t="s">
        <v>1040</v>
      </c>
      <c r="P235" t="s">
        <v>28</v>
      </c>
      <c r="Q235" t="str">
        <f>IF(Tabla1[[#This Row],[price]]&lt;20, "Low Cost",IF(Tabla1[[#This Row],[price]]&lt;=50, "Estándar", "Premium"))</f>
        <v>Premium</v>
      </c>
    </row>
    <row r="236" spans="1:17">
      <c r="A236">
        <v>195103</v>
      </c>
      <c r="B236" t="s">
        <v>17</v>
      </c>
      <c r="C236" t="s">
        <v>35</v>
      </c>
      <c r="D236" t="s">
        <v>19</v>
      </c>
      <c r="E236" t="s">
        <v>18</v>
      </c>
      <c r="F236">
        <v>2849</v>
      </c>
      <c r="G236" t="s">
        <v>20</v>
      </c>
      <c r="H236" t="s">
        <v>877</v>
      </c>
      <c r="I236" t="s">
        <v>576</v>
      </c>
      <c r="J236" t="s">
        <v>119</v>
      </c>
      <c r="K236" t="s">
        <v>179</v>
      </c>
      <c r="L236" s="1">
        <v>109</v>
      </c>
      <c r="M236" t="s">
        <v>25</v>
      </c>
      <c r="N236" t="s">
        <v>831</v>
      </c>
      <c r="O236" t="s">
        <v>1040</v>
      </c>
      <c r="P236" t="s">
        <v>28</v>
      </c>
      <c r="Q236" t="str">
        <f>IF(Tabla1[[#This Row],[price]]&lt;20, "Low Cost",IF(Tabla1[[#This Row],[price]]&lt;=50, "Estándar", "Premium"))</f>
        <v>Premium</v>
      </c>
    </row>
    <row r="237" spans="1:17">
      <c r="A237">
        <v>123047</v>
      </c>
      <c r="B237" t="s">
        <v>17</v>
      </c>
      <c r="C237" t="s">
        <v>18</v>
      </c>
      <c r="D237" t="s">
        <v>19</v>
      </c>
      <c r="E237" t="s">
        <v>35</v>
      </c>
      <c r="F237">
        <v>2985</v>
      </c>
      <c r="G237" t="s">
        <v>20</v>
      </c>
      <c r="H237" t="s">
        <v>882</v>
      </c>
      <c r="I237" t="s">
        <v>580</v>
      </c>
      <c r="J237" t="s">
        <v>64</v>
      </c>
      <c r="K237" t="s">
        <v>395</v>
      </c>
      <c r="L237" s="1">
        <v>109</v>
      </c>
      <c r="M237" t="s">
        <v>25</v>
      </c>
      <c r="N237" t="s">
        <v>836</v>
      </c>
      <c r="O237" t="s">
        <v>1040</v>
      </c>
      <c r="P237" t="s">
        <v>28</v>
      </c>
      <c r="Q237" t="str">
        <f>IF(Tabla1[[#This Row],[price]]&lt;20, "Low Cost",IF(Tabla1[[#This Row],[price]]&lt;=50, "Estándar", "Premium"))</f>
        <v>Premium</v>
      </c>
    </row>
    <row r="238" spans="1:17">
      <c r="A238">
        <v>123077</v>
      </c>
      <c r="B238" t="s">
        <v>56</v>
      </c>
      <c r="C238" t="s">
        <v>18</v>
      </c>
      <c r="D238" t="s">
        <v>19</v>
      </c>
      <c r="E238" t="s">
        <v>18</v>
      </c>
      <c r="F238">
        <v>1603</v>
      </c>
      <c r="G238" t="s">
        <v>20</v>
      </c>
      <c r="H238" t="s">
        <v>887</v>
      </c>
      <c r="I238" t="s">
        <v>585</v>
      </c>
      <c r="J238" t="s">
        <v>128</v>
      </c>
      <c r="K238" t="s">
        <v>399</v>
      </c>
      <c r="L238" s="1">
        <v>109</v>
      </c>
      <c r="M238" t="s">
        <v>25</v>
      </c>
      <c r="N238" t="s">
        <v>841</v>
      </c>
      <c r="O238" t="s">
        <v>1040</v>
      </c>
      <c r="P238" t="s">
        <v>28</v>
      </c>
      <c r="Q238" t="str">
        <f>IF(Tabla1[[#This Row],[price]]&lt;20, "Low Cost",IF(Tabla1[[#This Row],[price]]&lt;=50, "Estándar", "Premium"))</f>
        <v>Premium</v>
      </c>
    </row>
    <row r="239" spans="1:17">
      <c r="A239">
        <v>171860</v>
      </c>
      <c r="B239" t="s">
        <v>17</v>
      </c>
      <c r="C239" t="s">
        <v>35</v>
      </c>
      <c r="D239" t="s">
        <v>19</v>
      </c>
      <c r="E239" t="s">
        <v>18</v>
      </c>
      <c r="F239">
        <v>707</v>
      </c>
      <c r="G239" t="s">
        <v>20</v>
      </c>
      <c r="H239" t="s">
        <v>892</v>
      </c>
      <c r="I239" t="s">
        <v>589</v>
      </c>
      <c r="J239" t="s">
        <v>133</v>
      </c>
      <c r="K239" t="s">
        <v>404</v>
      </c>
      <c r="L239" s="1">
        <v>109</v>
      </c>
      <c r="M239" t="s">
        <v>25</v>
      </c>
      <c r="N239" t="s">
        <v>846</v>
      </c>
      <c r="O239" t="s">
        <v>1040</v>
      </c>
      <c r="P239" t="s">
        <v>28</v>
      </c>
      <c r="Q239" t="str">
        <f>IF(Tabla1[[#This Row],[price]]&lt;20, "Low Cost",IF(Tabla1[[#This Row],[price]]&lt;=50, "Estándar", "Premium"))</f>
        <v>Premium</v>
      </c>
    </row>
    <row r="240" spans="1:17">
      <c r="A240">
        <v>149487</v>
      </c>
      <c r="B240" t="s">
        <v>17</v>
      </c>
      <c r="C240" t="s">
        <v>18</v>
      </c>
      <c r="D240" t="s">
        <v>19</v>
      </c>
      <c r="E240" t="s">
        <v>35</v>
      </c>
      <c r="F240">
        <v>1258</v>
      </c>
      <c r="G240" t="s">
        <v>20</v>
      </c>
      <c r="H240" t="s">
        <v>897</v>
      </c>
      <c r="I240" t="s">
        <v>593</v>
      </c>
      <c r="J240" t="s">
        <v>138</v>
      </c>
      <c r="K240" t="s">
        <v>409</v>
      </c>
      <c r="L240" s="1">
        <v>99.9</v>
      </c>
      <c r="M240" t="s">
        <v>25</v>
      </c>
      <c r="N240" t="s">
        <v>851</v>
      </c>
      <c r="O240" t="s">
        <v>1040</v>
      </c>
      <c r="P240" t="s">
        <v>28</v>
      </c>
      <c r="Q240" t="str">
        <f>IF(Tabla1[[#This Row],[price]]&lt;20, "Low Cost",IF(Tabla1[[#This Row],[price]]&lt;=50, "Estándar", "Premium"))</f>
        <v>Premium</v>
      </c>
    </row>
    <row r="241" spans="1:17">
      <c r="A241">
        <v>168516</v>
      </c>
      <c r="B241" t="s">
        <v>56</v>
      </c>
      <c r="C241" t="s">
        <v>35</v>
      </c>
      <c r="D241" t="s">
        <v>19</v>
      </c>
      <c r="E241" t="s">
        <v>18</v>
      </c>
      <c r="F241">
        <v>2168</v>
      </c>
      <c r="G241" t="s">
        <v>20</v>
      </c>
      <c r="H241" t="s">
        <v>902</v>
      </c>
      <c r="I241" t="s">
        <v>598</v>
      </c>
      <c r="J241" t="s">
        <v>143</v>
      </c>
      <c r="K241" t="s">
        <v>414</v>
      </c>
      <c r="L241" s="1">
        <v>89.9</v>
      </c>
      <c r="M241" t="s">
        <v>25</v>
      </c>
      <c r="N241" t="s">
        <v>856</v>
      </c>
      <c r="O241" t="s">
        <v>1040</v>
      </c>
      <c r="P241" t="s">
        <v>28</v>
      </c>
      <c r="Q241" t="str">
        <f>IF(Tabla1[[#This Row],[price]]&lt;20, "Low Cost",IF(Tabla1[[#This Row],[price]]&lt;=50, "Estándar", "Premium"))</f>
        <v>Premium</v>
      </c>
    </row>
    <row r="242" spans="1:17">
      <c r="A242">
        <v>177771</v>
      </c>
      <c r="B242" t="s">
        <v>34</v>
      </c>
      <c r="C242" t="s">
        <v>35</v>
      </c>
      <c r="D242" t="s">
        <v>19</v>
      </c>
      <c r="E242" t="s">
        <v>35</v>
      </c>
      <c r="F242">
        <v>1764</v>
      </c>
      <c r="G242" t="s">
        <v>20</v>
      </c>
      <c r="H242" t="s">
        <v>907</v>
      </c>
      <c r="I242" t="s">
        <v>603</v>
      </c>
      <c r="J242" t="s">
        <v>148</v>
      </c>
      <c r="K242" t="s">
        <v>419</v>
      </c>
      <c r="L242" s="1">
        <v>69.900000000000006</v>
      </c>
      <c r="M242" t="s">
        <v>25</v>
      </c>
      <c r="N242" t="s">
        <v>861</v>
      </c>
      <c r="O242" t="s">
        <v>1040</v>
      </c>
      <c r="P242" t="s">
        <v>28</v>
      </c>
      <c r="Q242" t="str">
        <f>IF(Tabla1[[#This Row],[price]]&lt;20, "Low Cost",IF(Tabla1[[#This Row],[price]]&lt;=50, "Estándar", "Premium"))</f>
        <v>Premium</v>
      </c>
    </row>
    <row r="243" spans="1:17">
      <c r="A243">
        <v>172015</v>
      </c>
      <c r="B243" t="s">
        <v>34</v>
      </c>
      <c r="C243" t="s">
        <v>35</v>
      </c>
      <c r="D243" t="s">
        <v>19</v>
      </c>
      <c r="E243" t="s">
        <v>35</v>
      </c>
      <c r="F243">
        <v>2622</v>
      </c>
      <c r="G243" t="s">
        <v>20</v>
      </c>
      <c r="H243" t="s">
        <v>912</v>
      </c>
      <c r="I243" t="s">
        <v>608</v>
      </c>
      <c r="J243" t="s">
        <v>153</v>
      </c>
      <c r="K243" t="s">
        <v>424</v>
      </c>
      <c r="L243" s="1">
        <v>139</v>
      </c>
      <c r="M243" t="s">
        <v>25</v>
      </c>
      <c r="N243" t="s">
        <v>866</v>
      </c>
      <c r="O243" t="s">
        <v>1040</v>
      </c>
      <c r="P243" t="s">
        <v>28</v>
      </c>
      <c r="Q243" t="str">
        <f>IF(Tabla1[[#This Row],[price]]&lt;20, "Low Cost",IF(Tabla1[[#This Row],[price]]&lt;=50, "Estándar", "Premium"))</f>
        <v>Premium</v>
      </c>
    </row>
    <row r="244" spans="1:17">
      <c r="A244">
        <v>118985</v>
      </c>
      <c r="B244" t="s">
        <v>17</v>
      </c>
      <c r="C244" t="s">
        <v>18</v>
      </c>
      <c r="D244" t="s">
        <v>19</v>
      </c>
      <c r="E244" t="s">
        <v>35</v>
      </c>
      <c r="F244">
        <v>694</v>
      </c>
      <c r="G244" t="s">
        <v>20</v>
      </c>
      <c r="H244" t="s">
        <v>917</v>
      </c>
      <c r="I244" t="s">
        <v>613</v>
      </c>
      <c r="J244" t="s">
        <v>158</v>
      </c>
      <c r="K244" t="s">
        <v>429</v>
      </c>
      <c r="L244" s="1">
        <v>139</v>
      </c>
      <c r="M244" t="s">
        <v>25</v>
      </c>
      <c r="N244" t="s">
        <v>871</v>
      </c>
      <c r="O244" t="s">
        <v>1040</v>
      </c>
      <c r="P244" t="s">
        <v>28</v>
      </c>
      <c r="Q244" t="str">
        <f>IF(Tabla1[[#This Row],[price]]&lt;20, "Low Cost",IF(Tabla1[[#This Row],[price]]&lt;=50, "Estándar", "Premium"))</f>
        <v>Premium</v>
      </c>
    </row>
    <row r="245" spans="1:17">
      <c r="A245">
        <v>112194</v>
      </c>
      <c r="B245" t="s">
        <v>17</v>
      </c>
      <c r="C245" t="s">
        <v>35</v>
      </c>
      <c r="D245" t="s">
        <v>19</v>
      </c>
      <c r="E245" t="s">
        <v>35</v>
      </c>
      <c r="F245">
        <v>2187</v>
      </c>
      <c r="G245" t="s">
        <v>20</v>
      </c>
      <c r="H245" t="s">
        <v>922</v>
      </c>
      <c r="I245" t="s">
        <v>618</v>
      </c>
      <c r="J245" t="s">
        <v>163</v>
      </c>
      <c r="K245" t="s">
        <v>159</v>
      </c>
      <c r="L245" s="1">
        <v>109</v>
      </c>
      <c r="M245" t="s">
        <v>25</v>
      </c>
      <c r="N245" t="s">
        <v>876</v>
      </c>
      <c r="O245" t="s">
        <v>27</v>
      </c>
      <c r="P245" t="s">
        <v>28</v>
      </c>
      <c r="Q245" t="str">
        <f>IF(Tabla1[[#This Row],[price]]&lt;20, "Low Cost",IF(Tabla1[[#This Row],[price]]&lt;=50, "Estándar", "Premium"))</f>
        <v>Premium</v>
      </c>
    </row>
    <row r="246" spans="1:17">
      <c r="A246">
        <v>113435</v>
      </c>
      <c r="B246" t="s">
        <v>17</v>
      </c>
      <c r="C246" t="s">
        <v>18</v>
      </c>
      <c r="D246" t="s">
        <v>19</v>
      </c>
      <c r="E246" t="s">
        <v>35</v>
      </c>
      <c r="F246">
        <v>2973</v>
      </c>
      <c r="G246" t="s">
        <v>20</v>
      </c>
      <c r="H246" t="s">
        <v>927</v>
      </c>
      <c r="I246" t="s">
        <v>623</v>
      </c>
      <c r="J246" t="s">
        <v>168</v>
      </c>
      <c r="K246" t="s">
        <v>164</v>
      </c>
      <c r="L246" s="1">
        <v>129</v>
      </c>
      <c r="M246" t="s">
        <v>25</v>
      </c>
      <c r="N246" t="s">
        <v>881</v>
      </c>
      <c r="O246" t="s">
        <v>27</v>
      </c>
      <c r="P246" t="s">
        <v>28</v>
      </c>
      <c r="Q246" t="str">
        <f>IF(Tabla1[[#This Row],[price]]&lt;20, "Low Cost",IF(Tabla1[[#This Row],[price]]&lt;=50, "Estándar", "Premium"))</f>
        <v>Premium</v>
      </c>
    </row>
    <row r="247" spans="1:17">
      <c r="A247">
        <v>159182</v>
      </c>
      <c r="B247" t="s">
        <v>56</v>
      </c>
      <c r="C247" t="s">
        <v>35</v>
      </c>
      <c r="D247" t="s">
        <v>19</v>
      </c>
      <c r="E247" t="s">
        <v>18</v>
      </c>
      <c r="F247">
        <v>1014</v>
      </c>
      <c r="G247" t="s">
        <v>20</v>
      </c>
      <c r="H247" t="s">
        <v>932</v>
      </c>
      <c r="I247" t="s">
        <v>628</v>
      </c>
      <c r="J247" t="s">
        <v>173</v>
      </c>
      <c r="K247" t="s">
        <v>169</v>
      </c>
      <c r="L247" s="1">
        <v>169</v>
      </c>
      <c r="M247" t="s">
        <v>25</v>
      </c>
      <c r="N247" t="s">
        <v>886</v>
      </c>
      <c r="O247" t="s">
        <v>27</v>
      </c>
      <c r="P247" t="s">
        <v>28</v>
      </c>
      <c r="Q247" t="str">
        <f>IF(Tabla1[[#This Row],[price]]&lt;20, "Low Cost",IF(Tabla1[[#This Row],[price]]&lt;=50, "Estándar", "Premium"))</f>
        <v>Premium</v>
      </c>
    </row>
    <row r="248" spans="1:17">
      <c r="A248">
        <v>199233</v>
      </c>
      <c r="B248" t="s">
        <v>17</v>
      </c>
      <c r="C248" t="s">
        <v>35</v>
      </c>
      <c r="D248" t="s">
        <v>19</v>
      </c>
      <c r="E248" t="s">
        <v>18</v>
      </c>
      <c r="F248">
        <v>2222</v>
      </c>
      <c r="G248" t="s">
        <v>20</v>
      </c>
      <c r="H248" t="s">
        <v>937</v>
      </c>
      <c r="I248" t="s">
        <v>633</v>
      </c>
      <c r="J248" t="s">
        <v>178</v>
      </c>
      <c r="K248" t="s">
        <v>174</v>
      </c>
      <c r="L248" s="1">
        <v>159</v>
      </c>
      <c r="M248" t="s">
        <v>25</v>
      </c>
      <c r="N248" t="s">
        <v>891</v>
      </c>
      <c r="O248" t="s">
        <v>27</v>
      </c>
      <c r="P248" t="s">
        <v>28</v>
      </c>
      <c r="Q248" t="str">
        <f>IF(Tabla1[[#This Row],[price]]&lt;20, "Low Cost",IF(Tabla1[[#This Row],[price]]&lt;=50, "Estándar", "Premium"))</f>
        <v>Premium</v>
      </c>
    </row>
    <row r="249" spans="1:17">
      <c r="A249">
        <v>137044</v>
      </c>
      <c r="B249" t="s">
        <v>17</v>
      </c>
      <c r="C249" t="s">
        <v>18</v>
      </c>
      <c r="D249" t="s">
        <v>19</v>
      </c>
      <c r="E249" t="s">
        <v>35</v>
      </c>
      <c r="F249">
        <v>2534</v>
      </c>
      <c r="G249" t="s">
        <v>20</v>
      </c>
      <c r="H249" t="s">
        <v>451</v>
      </c>
      <c r="I249" t="s">
        <v>637</v>
      </c>
      <c r="J249" t="s">
        <v>158</v>
      </c>
      <c r="K249" t="s">
        <v>179</v>
      </c>
      <c r="L249" s="1">
        <v>12.99</v>
      </c>
      <c r="M249" t="s">
        <v>25</v>
      </c>
      <c r="N249" t="s">
        <v>896</v>
      </c>
      <c r="O249" t="s">
        <v>27</v>
      </c>
      <c r="P249" t="s">
        <v>28</v>
      </c>
      <c r="Q249" t="str">
        <f>IF(Tabla1[[#This Row],[price]]&lt;20, "Low Cost",IF(Tabla1[[#This Row],[price]]&lt;=50, "Estándar", "Premium"))</f>
        <v>Low Cost</v>
      </c>
    </row>
    <row r="250" spans="1:17">
      <c r="A250">
        <v>154736</v>
      </c>
      <c r="B250" t="s">
        <v>56</v>
      </c>
      <c r="C250" t="s">
        <v>35</v>
      </c>
      <c r="D250" t="s">
        <v>19</v>
      </c>
      <c r="E250" t="s">
        <v>35</v>
      </c>
      <c r="F250">
        <v>1466</v>
      </c>
      <c r="G250" t="s">
        <v>20</v>
      </c>
      <c r="H250" t="s">
        <v>456</v>
      </c>
      <c r="I250" t="s">
        <v>643</v>
      </c>
      <c r="J250" t="s">
        <v>187</v>
      </c>
      <c r="K250" t="s">
        <v>183</v>
      </c>
      <c r="L250" s="1">
        <v>19.899999999999999</v>
      </c>
      <c r="M250" t="s">
        <v>25</v>
      </c>
      <c r="N250" t="s">
        <v>901</v>
      </c>
      <c r="O250" t="s">
        <v>27</v>
      </c>
      <c r="P250" t="s">
        <v>28</v>
      </c>
      <c r="Q250" t="str">
        <f>IF(Tabla1[[#This Row],[price]]&lt;20, "Low Cost",IF(Tabla1[[#This Row],[price]]&lt;=50, "Estándar", "Premium"))</f>
        <v>Low Cost</v>
      </c>
    </row>
    <row r="251" spans="1:17">
      <c r="A251">
        <v>141434</v>
      </c>
      <c r="B251" t="s">
        <v>56</v>
      </c>
      <c r="C251" t="s">
        <v>18</v>
      </c>
      <c r="D251" t="s">
        <v>19</v>
      </c>
      <c r="E251" t="s">
        <v>35</v>
      </c>
      <c r="F251">
        <v>2870</v>
      </c>
      <c r="G251" t="s">
        <v>20</v>
      </c>
      <c r="H251" t="s">
        <v>461</v>
      </c>
      <c r="I251" t="s">
        <v>648</v>
      </c>
      <c r="J251" t="s">
        <v>59</v>
      </c>
      <c r="K251" t="s">
        <v>188</v>
      </c>
      <c r="L251" s="1">
        <v>39.9</v>
      </c>
      <c r="M251" t="s">
        <v>25</v>
      </c>
      <c r="N251" t="s">
        <v>1123</v>
      </c>
      <c r="O251" t="s">
        <v>27</v>
      </c>
      <c r="P251" t="s">
        <v>28</v>
      </c>
      <c r="Q251" t="str">
        <f>IF(Tabla1[[#This Row],[price]]&lt;20, "Low Cost",IF(Tabla1[[#This Row],[price]]&lt;=50, "Estándar", "Premium"))</f>
        <v>Estándar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A4D12-B11D-4ADE-87BB-6ECE3D75A0BB}">
  <dimension ref="A1:Q251"/>
  <sheetViews>
    <sheetView workbookViewId="0">
      <selection activeCell="B6" sqref="B6"/>
    </sheetView>
  </sheetViews>
  <sheetFormatPr defaultColWidth="11.42578125" defaultRowHeight="14.45"/>
  <cols>
    <col min="1" max="1" width="11.7109375" customWidth="1"/>
    <col min="2" max="2" width="16.7109375" customWidth="1"/>
    <col min="3" max="3" width="11.85546875" customWidth="1"/>
    <col min="4" max="4" width="17.5703125" customWidth="1"/>
    <col min="6" max="6" width="14.140625" customWidth="1"/>
    <col min="11" max="11" width="12.28515625" customWidth="1"/>
    <col min="14" max="14" width="12.140625" customWidth="1"/>
    <col min="17" max="17" width="12.570312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185102</v>
      </c>
      <c r="B2" t="s">
        <v>17</v>
      </c>
      <c r="C2" t="s">
        <v>18</v>
      </c>
      <c r="D2" t="s">
        <v>19</v>
      </c>
      <c r="E2" t="s">
        <v>18</v>
      </c>
      <c r="F2">
        <v>2823</v>
      </c>
      <c r="G2" t="s">
        <v>20</v>
      </c>
      <c r="H2" t="s">
        <v>21</v>
      </c>
      <c r="I2" t="s">
        <v>22</v>
      </c>
      <c r="J2" t="s">
        <v>23</v>
      </c>
      <c r="K2" t="s">
        <v>24</v>
      </c>
      <c r="L2">
        <v>19.989999999999998</v>
      </c>
      <c r="M2" t="s">
        <v>25</v>
      </c>
      <c r="N2" t="s">
        <v>26</v>
      </c>
      <c r="O2" t="s">
        <v>27</v>
      </c>
      <c r="P2" t="s">
        <v>28</v>
      </c>
      <c r="Q2" t="s">
        <v>1124</v>
      </c>
    </row>
    <row r="3" spans="1:17">
      <c r="A3">
        <v>188771</v>
      </c>
      <c r="B3" t="s">
        <v>17</v>
      </c>
      <c r="C3" t="s">
        <v>18</v>
      </c>
      <c r="D3" t="s">
        <v>19</v>
      </c>
      <c r="E3" t="s">
        <v>18</v>
      </c>
      <c r="F3">
        <v>654</v>
      </c>
      <c r="G3" t="s">
        <v>20</v>
      </c>
      <c r="H3" t="s">
        <v>29</v>
      </c>
      <c r="I3" t="s">
        <v>30</v>
      </c>
      <c r="J3" t="s">
        <v>31</v>
      </c>
      <c r="K3" t="s">
        <v>32</v>
      </c>
      <c r="L3">
        <v>169</v>
      </c>
      <c r="M3" t="s">
        <v>25</v>
      </c>
      <c r="N3" t="s">
        <v>33</v>
      </c>
      <c r="O3" t="s">
        <v>27</v>
      </c>
      <c r="P3" t="s">
        <v>28</v>
      </c>
      <c r="Q3" t="s">
        <v>1125</v>
      </c>
    </row>
    <row r="4" spans="1:17">
      <c r="A4">
        <v>180176</v>
      </c>
      <c r="B4" t="s">
        <v>34</v>
      </c>
      <c r="C4" t="s">
        <v>35</v>
      </c>
      <c r="D4" t="s">
        <v>19</v>
      </c>
      <c r="E4" t="s">
        <v>35</v>
      </c>
      <c r="F4">
        <v>2220</v>
      </c>
      <c r="G4" t="s">
        <v>20</v>
      </c>
      <c r="H4" t="s">
        <v>36</v>
      </c>
      <c r="I4" t="s">
        <v>37</v>
      </c>
      <c r="J4" t="s">
        <v>38</v>
      </c>
      <c r="K4" t="s">
        <v>39</v>
      </c>
      <c r="L4">
        <v>129</v>
      </c>
      <c r="M4" t="s">
        <v>25</v>
      </c>
      <c r="N4" t="s">
        <v>40</v>
      </c>
      <c r="O4" t="s">
        <v>27</v>
      </c>
      <c r="P4" t="s">
        <v>28</v>
      </c>
      <c r="Q4" t="s">
        <v>1125</v>
      </c>
    </row>
    <row r="5" spans="1:17">
      <c r="A5">
        <v>112917</v>
      </c>
      <c r="B5" t="s">
        <v>17</v>
      </c>
      <c r="C5" t="s">
        <v>35</v>
      </c>
      <c r="D5" t="s">
        <v>19</v>
      </c>
      <c r="E5" t="s">
        <v>35</v>
      </c>
      <c r="F5">
        <v>1568</v>
      </c>
      <c r="G5" t="s">
        <v>20</v>
      </c>
      <c r="H5" t="s">
        <v>41</v>
      </c>
      <c r="I5" t="s">
        <v>42</v>
      </c>
      <c r="J5" t="s">
        <v>43</v>
      </c>
      <c r="K5" t="s">
        <v>44</v>
      </c>
      <c r="L5">
        <v>129</v>
      </c>
      <c r="M5" t="s">
        <v>25</v>
      </c>
      <c r="N5" t="s">
        <v>45</v>
      </c>
      <c r="O5" t="s">
        <v>27</v>
      </c>
      <c r="P5" t="s">
        <v>28</v>
      </c>
      <c r="Q5" t="s">
        <v>1125</v>
      </c>
    </row>
    <row r="6" spans="1:17">
      <c r="A6">
        <v>192936</v>
      </c>
      <c r="B6" t="s">
        <v>34</v>
      </c>
      <c r="C6" t="s">
        <v>18</v>
      </c>
      <c r="D6" t="s">
        <v>19</v>
      </c>
      <c r="E6" t="s">
        <v>35</v>
      </c>
      <c r="F6">
        <v>2942</v>
      </c>
      <c r="G6" t="s">
        <v>20</v>
      </c>
      <c r="H6" t="s">
        <v>46</v>
      </c>
      <c r="I6" t="s">
        <v>47</v>
      </c>
      <c r="J6" t="s">
        <v>48</v>
      </c>
      <c r="K6" t="s">
        <v>49</v>
      </c>
      <c r="L6">
        <v>139</v>
      </c>
      <c r="M6" t="s">
        <v>25</v>
      </c>
      <c r="N6" t="s">
        <v>50</v>
      </c>
      <c r="O6" t="s">
        <v>27</v>
      </c>
      <c r="P6" t="s">
        <v>28</v>
      </c>
      <c r="Q6" t="s">
        <v>1125</v>
      </c>
    </row>
    <row r="7" spans="1:17">
      <c r="A7">
        <v>117590</v>
      </c>
      <c r="B7" t="s">
        <v>34</v>
      </c>
      <c r="C7" t="s">
        <v>18</v>
      </c>
      <c r="D7" t="s">
        <v>19</v>
      </c>
      <c r="E7" t="s">
        <v>18</v>
      </c>
      <c r="F7">
        <v>2968</v>
      </c>
      <c r="G7" t="s">
        <v>20</v>
      </c>
      <c r="H7" t="s">
        <v>51</v>
      </c>
      <c r="I7" t="s">
        <v>52</v>
      </c>
      <c r="J7" t="s">
        <v>53</v>
      </c>
      <c r="K7" t="s">
        <v>54</v>
      </c>
      <c r="L7">
        <v>79.900000000000006</v>
      </c>
      <c r="M7" t="s">
        <v>25</v>
      </c>
      <c r="N7" t="s">
        <v>55</v>
      </c>
      <c r="O7" t="s">
        <v>27</v>
      </c>
      <c r="P7" t="s">
        <v>28</v>
      </c>
      <c r="Q7" t="s">
        <v>1125</v>
      </c>
    </row>
    <row r="8" spans="1:17">
      <c r="A8">
        <v>189118</v>
      </c>
      <c r="B8" t="s">
        <v>56</v>
      </c>
      <c r="C8" t="s">
        <v>35</v>
      </c>
      <c r="D8" t="s">
        <v>19</v>
      </c>
      <c r="E8" t="s">
        <v>35</v>
      </c>
      <c r="F8">
        <v>952</v>
      </c>
      <c r="G8" t="s">
        <v>20</v>
      </c>
      <c r="H8" t="s">
        <v>57</v>
      </c>
      <c r="I8" t="s">
        <v>58</v>
      </c>
      <c r="J8" t="s">
        <v>59</v>
      </c>
      <c r="K8" t="s">
        <v>60</v>
      </c>
      <c r="L8">
        <v>69.989999999999995</v>
      </c>
      <c r="M8" t="s">
        <v>25</v>
      </c>
      <c r="N8" t="s">
        <v>61</v>
      </c>
      <c r="O8" t="s">
        <v>27</v>
      </c>
      <c r="P8" t="s">
        <v>28</v>
      </c>
      <c r="Q8" t="s">
        <v>1125</v>
      </c>
    </row>
    <row r="9" spans="1:17">
      <c r="A9">
        <v>182157</v>
      </c>
      <c r="B9" t="s">
        <v>17</v>
      </c>
      <c r="C9" t="s">
        <v>18</v>
      </c>
      <c r="D9" t="s">
        <v>19</v>
      </c>
      <c r="E9" t="s">
        <v>18</v>
      </c>
      <c r="F9">
        <v>2421</v>
      </c>
      <c r="G9" t="s">
        <v>20</v>
      </c>
      <c r="H9" t="s">
        <v>62</v>
      </c>
      <c r="I9" t="s">
        <v>63</v>
      </c>
      <c r="J9" t="s">
        <v>64</v>
      </c>
      <c r="K9" t="s">
        <v>65</v>
      </c>
      <c r="L9">
        <v>159</v>
      </c>
      <c r="M9" t="s">
        <v>25</v>
      </c>
      <c r="N9" t="s">
        <v>66</v>
      </c>
      <c r="O9" t="s">
        <v>27</v>
      </c>
      <c r="P9" t="s">
        <v>28</v>
      </c>
      <c r="Q9" t="s">
        <v>1125</v>
      </c>
    </row>
    <row r="10" spans="1:17">
      <c r="A10">
        <v>141861</v>
      </c>
      <c r="B10" t="s">
        <v>17</v>
      </c>
      <c r="C10" t="s">
        <v>35</v>
      </c>
      <c r="D10" t="s">
        <v>19</v>
      </c>
      <c r="E10" t="s">
        <v>35</v>
      </c>
      <c r="F10">
        <v>1916</v>
      </c>
      <c r="G10" t="s">
        <v>20</v>
      </c>
      <c r="H10" t="s">
        <v>67</v>
      </c>
      <c r="I10" t="s">
        <v>68</v>
      </c>
      <c r="J10" t="s">
        <v>69</v>
      </c>
      <c r="K10" t="s">
        <v>70</v>
      </c>
      <c r="L10">
        <v>169</v>
      </c>
      <c r="M10" t="s">
        <v>25</v>
      </c>
      <c r="N10" t="s">
        <v>71</v>
      </c>
      <c r="O10" t="s">
        <v>27</v>
      </c>
      <c r="P10" t="s">
        <v>28</v>
      </c>
      <c r="Q10" t="s">
        <v>1125</v>
      </c>
    </row>
    <row r="11" spans="1:17">
      <c r="A11">
        <v>137121</v>
      </c>
      <c r="B11" t="s">
        <v>17</v>
      </c>
      <c r="C11" t="s">
        <v>18</v>
      </c>
      <c r="D11" t="s">
        <v>19</v>
      </c>
      <c r="E11" t="s">
        <v>35</v>
      </c>
      <c r="F11">
        <v>656</v>
      </c>
      <c r="G11" t="s">
        <v>20</v>
      </c>
      <c r="H11" t="s">
        <v>72</v>
      </c>
      <c r="I11" t="s">
        <v>73</v>
      </c>
      <c r="J11" t="s">
        <v>74</v>
      </c>
      <c r="K11" t="s">
        <v>75</v>
      </c>
      <c r="L11">
        <v>169</v>
      </c>
      <c r="M11" t="s">
        <v>25</v>
      </c>
      <c r="N11" t="s">
        <v>76</v>
      </c>
      <c r="O11" t="s">
        <v>27</v>
      </c>
      <c r="P11" t="s">
        <v>28</v>
      </c>
      <c r="Q11" t="s">
        <v>1125</v>
      </c>
    </row>
    <row r="12" spans="1:17">
      <c r="A12">
        <v>113143</v>
      </c>
      <c r="B12" t="s">
        <v>17</v>
      </c>
      <c r="C12" t="s">
        <v>35</v>
      </c>
      <c r="D12" t="s">
        <v>19</v>
      </c>
      <c r="E12" t="s">
        <v>35</v>
      </c>
      <c r="F12">
        <v>2663</v>
      </c>
      <c r="G12" t="s">
        <v>20</v>
      </c>
      <c r="H12" t="s">
        <v>77</v>
      </c>
      <c r="I12" t="s">
        <v>78</v>
      </c>
      <c r="J12" t="s">
        <v>79</v>
      </c>
      <c r="K12" t="s">
        <v>80</v>
      </c>
      <c r="L12">
        <v>129</v>
      </c>
      <c r="M12" t="s">
        <v>25</v>
      </c>
      <c r="N12" t="s">
        <v>81</v>
      </c>
      <c r="O12" t="s">
        <v>27</v>
      </c>
      <c r="P12" t="s">
        <v>28</v>
      </c>
      <c r="Q12" t="s">
        <v>1125</v>
      </c>
    </row>
    <row r="13" spans="1:17">
      <c r="A13">
        <v>140028</v>
      </c>
      <c r="B13" t="s">
        <v>17</v>
      </c>
      <c r="C13" t="s">
        <v>35</v>
      </c>
      <c r="D13" t="s">
        <v>19</v>
      </c>
      <c r="E13" t="s">
        <v>35</v>
      </c>
      <c r="F13">
        <v>1260</v>
      </c>
      <c r="G13" t="s">
        <v>20</v>
      </c>
      <c r="H13" t="s">
        <v>82</v>
      </c>
      <c r="I13" t="s">
        <v>83</v>
      </c>
      <c r="J13" t="s">
        <v>84</v>
      </c>
      <c r="K13" t="s">
        <v>85</v>
      </c>
      <c r="L13">
        <v>159</v>
      </c>
      <c r="M13" t="s">
        <v>25</v>
      </c>
      <c r="N13" t="s">
        <v>86</v>
      </c>
      <c r="O13" t="s">
        <v>27</v>
      </c>
      <c r="P13" t="s">
        <v>28</v>
      </c>
      <c r="Q13" t="s">
        <v>1125</v>
      </c>
    </row>
    <row r="14" spans="1:17">
      <c r="A14">
        <v>134693</v>
      </c>
      <c r="B14" t="s">
        <v>17</v>
      </c>
      <c r="C14" t="s">
        <v>35</v>
      </c>
      <c r="D14" t="s">
        <v>19</v>
      </c>
      <c r="E14" t="s">
        <v>18</v>
      </c>
      <c r="F14">
        <v>2124</v>
      </c>
      <c r="G14" t="s">
        <v>20</v>
      </c>
      <c r="H14" t="s">
        <v>87</v>
      </c>
      <c r="I14" t="s">
        <v>88</v>
      </c>
      <c r="J14" t="s">
        <v>89</v>
      </c>
      <c r="K14" t="s">
        <v>90</v>
      </c>
      <c r="L14">
        <v>169</v>
      </c>
      <c r="M14" t="s">
        <v>25</v>
      </c>
      <c r="N14" t="s">
        <v>91</v>
      </c>
      <c r="O14" t="s">
        <v>27</v>
      </c>
      <c r="P14" t="s">
        <v>28</v>
      </c>
      <c r="Q14" t="s">
        <v>1125</v>
      </c>
    </row>
    <row r="15" spans="1:17">
      <c r="A15">
        <v>151396</v>
      </c>
      <c r="B15" t="s">
        <v>56</v>
      </c>
      <c r="C15" t="s">
        <v>35</v>
      </c>
      <c r="D15" t="s">
        <v>19</v>
      </c>
      <c r="E15" t="s">
        <v>35</v>
      </c>
      <c r="F15">
        <v>729</v>
      </c>
      <c r="G15" t="s">
        <v>20</v>
      </c>
      <c r="H15" t="s">
        <v>92</v>
      </c>
      <c r="I15" t="s">
        <v>93</v>
      </c>
      <c r="J15" t="s">
        <v>94</v>
      </c>
      <c r="K15" t="s">
        <v>95</v>
      </c>
      <c r="L15">
        <v>439</v>
      </c>
      <c r="M15" t="s">
        <v>25</v>
      </c>
      <c r="N15" t="s">
        <v>96</v>
      </c>
      <c r="O15" t="s">
        <v>27</v>
      </c>
      <c r="P15" t="s">
        <v>28</v>
      </c>
      <c r="Q15" t="s">
        <v>1125</v>
      </c>
    </row>
    <row r="16" spans="1:17">
      <c r="A16">
        <v>132889</v>
      </c>
      <c r="B16" t="s">
        <v>17</v>
      </c>
      <c r="C16" t="s">
        <v>35</v>
      </c>
      <c r="D16" t="s">
        <v>19</v>
      </c>
      <c r="E16" t="s">
        <v>35</v>
      </c>
      <c r="F16">
        <v>2265</v>
      </c>
      <c r="G16" t="s">
        <v>20</v>
      </c>
      <c r="H16" t="s">
        <v>97</v>
      </c>
      <c r="I16" t="s">
        <v>98</v>
      </c>
      <c r="J16" t="s">
        <v>99</v>
      </c>
      <c r="K16" t="s">
        <v>100</v>
      </c>
      <c r="L16">
        <v>99.9</v>
      </c>
      <c r="M16" t="s">
        <v>25</v>
      </c>
      <c r="N16" t="s">
        <v>101</v>
      </c>
      <c r="O16" t="s">
        <v>27</v>
      </c>
      <c r="P16" t="s">
        <v>28</v>
      </c>
      <c r="Q16" t="s">
        <v>1125</v>
      </c>
    </row>
    <row r="17" spans="1:17">
      <c r="A17">
        <v>152174</v>
      </c>
      <c r="B17" t="s">
        <v>34</v>
      </c>
      <c r="C17" t="s">
        <v>18</v>
      </c>
      <c r="D17" t="s">
        <v>19</v>
      </c>
      <c r="E17" t="s">
        <v>18</v>
      </c>
      <c r="F17">
        <v>2226</v>
      </c>
      <c r="G17" t="s">
        <v>20</v>
      </c>
      <c r="H17" t="s">
        <v>102</v>
      </c>
      <c r="I17" t="s">
        <v>103</v>
      </c>
      <c r="J17" t="s">
        <v>104</v>
      </c>
      <c r="K17" t="s">
        <v>105</v>
      </c>
      <c r="L17">
        <v>99.9</v>
      </c>
      <c r="M17" t="s">
        <v>25</v>
      </c>
      <c r="N17" t="s">
        <v>106</v>
      </c>
      <c r="O17" t="s">
        <v>27</v>
      </c>
      <c r="P17" t="s">
        <v>28</v>
      </c>
      <c r="Q17" t="s">
        <v>1125</v>
      </c>
    </row>
    <row r="18" spans="1:17">
      <c r="A18">
        <v>129906</v>
      </c>
      <c r="B18" t="s">
        <v>17</v>
      </c>
      <c r="C18" t="s">
        <v>18</v>
      </c>
      <c r="D18" t="s">
        <v>19</v>
      </c>
      <c r="E18" t="s">
        <v>18</v>
      </c>
      <c r="F18">
        <v>2089</v>
      </c>
      <c r="G18" t="s">
        <v>20</v>
      </c>
      <c r="H18" t="s">
        <v>107</v>
      </c>
      <c r="I18" t="s">
        <v>108</v>
      </c>
      <c r="J18" t="s">
        <v>109</v>
      </c>
      <c r="K18" t="s">
        <v>110</v>
      </c>
      <c r="L18">
        <v>69.900000000000006</v>
      </c>
      <c r="M18" t="s">
        <v>25</v>
      </c>
      <c r="N18" t="s">
        <v>111</v>
      </c>
      <c r="O18" t="s">
        <v>27</v>
      </c>
      <c r="P18" t="s">
        <v>28</v>
      </c>
      <c r="Q18" t="s">
        <v>1125</v>
      </c>
    </row>
    <row r="19" spans="1:17">
      <c r="A19">
        <v>195879</v>
      </c>
      <c r="B19" t="s">
        <v>56</v>
      </c>
      <c r="C19" t="s">
        <v>35</v>
      </c>
      <c r="D19" t="s">
        <v>19</v>
      </c>
      <c r="E19" t="s">
        <v>35</v>
      </c>
      <c r="F19">
        <v>2339</v>
      </c>
      <c r="G19" t="s">
        <v>20</v>
      </c>
      <c r="H19" t="s">
        <v>112</v>
      </c>
      <c r="I19" t="s">
        <v>113</v>
      </c>
      <c r="J19" t="s">
        <v>114</v>
      </c>
      <c r="K19" t="s">
        <v>115</v>
      </c>
      <c r="L19">
        <v>129</v>
      </c>
      <c r="M19" t="s">
        <v>25</v>
      </c>
      <c r="N19" t="s">
        <v>116</v>
      </c>
      <c r="O19" t="s">
        <v>27</v>
      </c>
      <c r="P19" t="s">
        <v>28</v>
      </c>
      <c r="Q19" t="s">
        <v>1125</v>
      </c>
    </row>
    <row r="20" spans="1:17">
      <c r="A20">
        <v>155050</v>
      </c>
      <c r="B20" t="s">
        <v>17</v>
      </c>
      <c r="C20" t="s">
        <v>18</v>
      </c>
      <c r="D20" t="s">
        <v>19</v>
      </c>
      <c r="E20" t="s">
        <v>35</v>
      </c>
      <c r="F20">
        <v>2321</v>
      </c>
      <c r="G20" t="s">
        <v>20</v>
      </c>
      <c r="H20" t="s">
        <v>117</v>
      </c>
      <c r="I20" t="s">
        <v>118</v>
      </c>
      <c r="J20" t="s">
        <v>119</v>
      </c>
      <c r="K20" t="s">
        <v>120</v>
      </c>
      <c r="L20">
        <v>129</v>
      </c>
      <c r="M20" t="s">
        <v>25</v>
      </c>
      <c r="N20" t="s">
        <v>121</v>
      </c>
      <c r="O20" t="s">
        <v>27</v>
      </c>
      <c r="P20" t="s">
        <v>28</v>
      </c>
      <c r="Q20" t="s">
        <v>1125</v>
      </c>
    </row>
    <row r="21" spans="1:17">
      <c r="A21">
        <v>194410</v>
      </c>
      <c r="B21" t="s">
        <v>34</v>
      </c>
      <c r="C21" t="s">
        <v>18</v>
      </c>
      <c r="D21" t="s">
        <v>19</v>
      </c>
      <c r="E21" t="s">
        <v>18</v>
      </c>
      <c r="F21">
        <v>669</v>
      </c>
      <c r="G21" t="s">
        <v>20</v>
      </c>
      <c r="H21" t="s">
        <v>122</v>
      </c>
      <c r="I21" t="s">
        <v>123</v>
      </c>
      <c r="J21" t="s">
        <v>64</v>
      </c>
      <c r="K21" t="s">
        <v>124</v>
      </c>
      <c r="L21">
        <v>159</v>
      </c>
      <c r="M21" t="s">
        <v>25</v>
      </c>
      <c r="N21" t="s">
        <v>125</v>
      </c>
      <c r="O21" t="s">
        <v>27</v>
      </c>
      <c r="P21" t="s">
        <v>28</v>
      </c>
      <c r="Q21" t="s">
        <v>1125</v>
      </c>
    </row>
    <row r="22" spans="1:17">
      <c r="A22">
        <v>141904</v>
      </c>
      <c r="B22" t="s">
        <v>34</v>
      </c>
      <c r="C22" t="s">
        <v>35</v>
      </c>
      <c r="D22" t="s">
        <v>19</v>
      </c>
      <c r="E22" t="s">
        <v>35</v>
      </c>
      <c r="F22">
        <v>1712</v>
      </c>
      <c r="G22" t="s">
        <v>20</v>
      </c>
      <c r="H22" t="s">
        <v>126</v>
      </c>
      <c r="I22" t="s">
        <v>127</v>
      </c>
      <c r="J22" t="s">
        <v>128</v>
      </c>
      <c r="K22" t="s">
        <v>129</v>
      </c>
      <c r="L22">
        <v>109</v>
      </c>
      <c r="M22" t="s">
        <v>25</v>
      </c>
      <c r="N22" t="s">
        <v>130</v>
      </c>
      <c r="O22" t="s">
        <v>27</v>
      </c>
      <c r="P22" t="s">
        <v>28</v>
      </c>
      <c r="Q22" t="s">
        <v>1125</v>
      </c>
    </row>
    <row r="23" spans="1:17">
      <c r="A23">
        <v>124981</v>
      </c>
      <c r="B23" t="s">
        <v>56</v>
      </c>
      <c r="C23" t="s">
        <v>18</v>
      </c>
      <c r="D23" t="s">
        <v>19</v>
      </c>
      <c r="E23" t="s">
        <v>35</v>
      </c>
      <c r="F23">
        <v>1832</v>
      </c>
      <c r="G23" t="s">
        <v>20</v>
      </c>
      <c r="H23" t="s">
        <v>131</v>
      </c>
      <c r="I23" t="s">
        <v>132</v>
      </c>
      <c r="J23" t="s">
        <v>133</v>
      </c>
      <c r="K23" t="s">
        <v>134</v>
      </c>
      <c r="L23">
        <v>89.9</v>
      </c>
      <c r="M23" t="s">
        <v>25</v>
      </c>
      <c r="N23" t="s">
        <v>135</v>
      </c>
      <c r="O23" t="s">
        <v>27</v>
      </c>
      <c r="P23" t="s">
        <v>28</v>
      </c>
      <c r="Q23" t="s">
        <v>1125</v>
      </c>
    </row>
    <row r="24" spans="1:17">
      <c r="A24">
        <v>161909</v>
      </c>
      <c r="B24" t="s">
        <v>17</v>
      </c>
      <c r="C24" t="s">
        <v>35</v>
      </c>
      <c r="D24" t="s">
        <v>19</v>
      </c>
      <c r="E24" t="s">
        <v>18</v>
      </c>
      <c r="F24">
        <v>1290</v>
      </c>
      <c r="G24" t="s">
        <v>20</v>
      </c>
      <c r="H24" t="s">
        <v>136</v>
      </c>
      <c r="I24" t="s">
        <v>137</v>
      </c>
      <c r="J24" t="s">
        <v>138</v>
      </c>
      <c r="K24" t="s">
        <v>139</v>
      </c>
      <c r="L24">
        <v>299</v>
      </c>
      <c r="M24" t="s">
        <v>25</v>
      </c>
      <c r="N24" t="s">
        <v>140</v>
      </c>
      <c r="O24" t="s">
        <v>27</v>
      </c>
      <c r="P24" t="s">
        <v>28</v>
      </c>
      <c r="Q24" t="s">
        <v>1125</v>
      </c>
    </row>
    <row r="25" spans="1:17">
      <c r="A25">
        <v>129152</v>
      </c>
      <c r="B25" t="s">
        <v>34</v>
      </c>
      <c r="C25" t="s">
        <v>18</v>
      </c>
      <c r="D25" t="s">
        <v>19</v>
      </c>
      <c r="E25" t="s">
        <v>18</v>
      </c>
      <c r="F25">
        <v>2356</v>
      </c>
      <c r="G25" t="s">
        <v>20</v>
      </c>
      <c r="H25" t="s">
        <v>141</v>
      </c>
      <c r="I25" t="s">
        <v>142</v>
      </c>
      <c r="J25" t="s">
        <v>143</v>
      </c>
      <c r="K25" t="s">
        <v>144</v>
      </c>
      <c r="L25">
        <v>49.9</v>
      </c>
      <c r="M25" t="s">
        <v>25</v>
      </c>
      <c r="N25" t="s">
        <v>145</v>
      </c>
      <c r="O25" t="s">
        <v>27</v>
      </c>
      <c r="P25" t="s">
        <v>28</v>
      </c>
      <c r="Q25" t="s">
        <v>1126</v>
      </c>
    </row>
    <row r="26" spans="1:17">
      <c r="A26">
        <v>183243</v>
      </c>
      <c r="B26" t="s">
        <v>56</v>
      </c>
      <c r="C26" t="s">
        <v>35</v>
      </c>
      <c r="D26" t="s">
        <v>19</v>
      </c>
      <c r="E26" t="s">
        <v>18</v>
      </c>
      <c r="F26">
        <v>1524</v>
      </c>
      <c r="G26" t="s">
        <v>20</v>
      </c>
      <c r="H26" t="s">
        <v>146</v>
      </c>
      <c r="I26" t="s">
        <v>147</v>
      </c>
      <c r="J26" t="s">
        <v>148</v>
      </c>
      <c r="K26" t="s">
        <v>149</v>
      </c>
      <c r="L26">
        <v>169</v>
      </c>
      <c r="M26" t="s">
        <v>25</v>
      </c>
      <c r="N26" t="s">
        <v>150</v>
      </c>
      <c r="O26" t="s">
        <v>27</v>
      </c>
      <c r="P26" t="s">
        <v>28</v>
      </c>
      <c r="Q26" t="s">
        <v>1125</v>
      </c>
    </row>
    <row r="27" spans="1:17">
      <c r="A27">
        <v>198248</v>
      </c>
      <c r="B27" t="s">
        <v>56</v>
      </c>
      <c r="C27" t="s">
        <v>35</v>
      </c>
      <c r="D27" t="s">
        <v>19</v>
      </c>
      <c r="E27" t="s">
        <v>18</v>
      </c>
      <c r="F27">
        <v>1644</v>
      </c>
      <c r="G27" t="s">
        <v>20</v>
      </c>
      <c r="H27" t="s">
        <v>151</v>
      </c>
      <c r="I27" t="s">
        <v>152</v>
      </c>
      <c r="J27" t="s">
        <v>153</v>
      </c>
      <c r="K27" t="s">
        <v>154</v>
      </c>
      <c r="L27">
        <v>69.900000000000006</v>
      </c>
      <c r="M27" t="s">
        <v>25</v>
      </c>
      <c r="N27" t="s">
        <v>155</v>
      </c>
      <c r="O27" t="s">
        <v>27</v>
      </c>
      <c r="P27" t="s">
        <v>28</v>
      </c>
      <c r="Q27" t="s">
        <v>1125</v>
      </c>
    </row>
    <row r="28" spans="1:17">
      <c r="A28">
        <v>191230</v>
      </c>
      <c r="B28" t="s">
        <v>34</v>
      </c>
      <c r="C28" t="s">
        <v>18</v>
      </c>
      <c r="D28" t="s">
        <v>19</v>
      </c>
      <c r="E28" t="s">
        <v>18</v>
      </c>
      <c r="F28">
        <v>966</v>
      </c>
      <c r="G28" t="s">
        <v>20</v>
      </c>
      <c r="H28" t="s">
        <v>156</v>
      </c>
      <c r="I28" t="s">
        <v>157</v>
      </c>
      <c r="J28" t="s">
        <v>158</v>
      </c>
      <c r="K28" t="s">
        <v>159</v>
      </c>
      <c r="L28">
        <v>89.9</v>
      </c>
      <c r="M28" t="s">
        <v>25</v>
      </c>
      <c r="N28" t="s">
        <v>160</v>
      </c>
      <c r="O28" t="s">
        <v>27</v>
      </c>
      <c r="P28" t="s">
        <v>28</v>
      </c>
      <c r="Q28" t="s">
        <v>1125</v>
      </c>
    </row>
    <row r="29" spans="1:17">
      <c r="A29">
        <v>187234</v>
      </c>
      <c r="B29" t="s">
        <v>56</v>
      </c>
      <c r="C29" t="s">
        <v>35</v>
      </c>
      <c r="D29" t="s">
        <v>19</v>
      </c>
      <c r="E29" t="s">
        <v>35</v>
      </c>
      <c r="F29">
        <v>2575</v>
      </c>
      <c r="G29" t="s">
        <v>20</v>
      </c>
      <c r="H29" t="s">
        <v>161</v>
      </c>
      <c r="I29" t="s">
        <v>162</v>
      </c>
      <c r="J29" t="s">
        <v>163</v>
      </c>
      <c r="K29" t="s">
        <v>164</v>
      </c>
      <c r="L29">
        <v>59.9</v>
      </c>
      <c r="M29" t="s">
        <v>25</v>
      </c>
      <c r="N29" t="s">
        <v>165</v>
      </c>
      <c r="O29" t="s">
        <v>27</v>
      </c>
      <c r="P29" t="s">
        <v>28</v>
      </c>
      <c r="Q29" t="s">
        <v>1125</v>
      </c>
    </row>
    <row r="30" spans="1:17">
      <c r="A30">
        <v>148888</v>
      </c>
      <c r="B30" t="s">
        <v>56</v>
      </c>
      <c r="C30" t="s">
        <v>18</v>
      </c>
      <c r="D30" t="s">
        <v>19</v>
      </c>
      <c r="E30" t="s">
        <v>18</v>
      </c>
      <c r="F30">
        <v>2774</v>
      </c>
      <c r="G30" t="s">
        <v>20</v>
      </c>
      <c r="H30" t="s">
        <v>166</v>
      </c>
      <c r="I30" t="s">
        <v>167</v>
      </c>
      <c r="J30" t="s">
        <v>168</v>
      </c>
      <c r="K30" t="s">
        <v>169</v>
      </c>
      <c r="L30">
        <v>109</v>
      </c>
      <c r="M30" t="s">
        <v>25</v>
      </c>
      <c r="N30" t="s">
        <v>170</v>
      </c>
      <c r="O30" t="s">
        <v>27</v>
      </c>
      <c r="P30" t="s">
        <v>28</v>
      </c>
      <c r="Q30" t="s">
        <v>1125</v>
      </c>
    </row>
    <row r="31" spans="1:17">
      <c r="A31">
        <v>110805</v>
      </c>
      <c r="B31" t="s">
        <v>56</v>
      </c>
      <c r="C31" t="s">
        <v>35</v>
      </c>
      <c r="D31" t="s">
        <v>19</v>
      </c>
      <c r="E31" t="s">
        <v>18</v>
      </c>
      <c r="F31">
        <v>2477</v>
      </c>
      <c r="G31" t="s">
        <v>20</v>
      </c>
      <c r="H31" t="s">
        <v>171</v>
      </c>
      <c r="I31" t="s">
        <v>172</v>
      </c>
      <c r="J31" t="s">
        <v>173</v>
      </c>
      <c r="K31" t="s">
        <v>174</v>
      </c>
      <c r="L31">
        <v>159</v>
      </c>
      <c r="M31" t="s">
        <v>25</v>
      </c>
      <c r="N31" t="s">
        <v>175</v>
      </c>
      <c r="O31" t="s">
        <v>27</v>
      </c>
      <c r="P31" t="s">
        <v>28</v>
      </c>
      <c r="Q31" t="s">
        <v>1125</v>
      </c>
    </row>
    <row r="32" spans="1:17">
      <c r="A32">
        <v>179801</v>
      </c>
      <c r="B32" t="s">
        <v>56</v>
      </c>
      <c r="C32" t="s">
        <v>18</v>
      </c>
      <c r="D32" t="s">
        <v>19</v>
      </c>
      <c r="E32" t="s">
        <v>35</v>
      </c>
      <c r="F32">
        <v>2608</v>
      </c>
      <c r="G32" t="s">
        <v>20</v>
      </c>
      <c r="H32" t="s">
        <v>176</v>
      </c>
      <c r="I32" t="s">
        <v>177</v>
      </c>
      <c r="J32" t="s">
        <v>178</v>
      </c>
      <c r="K32" t="s">
        <v>179</v>
      </c>
      <c r="L32">
        <v>129</v>
      </c>
      <c r="M32" t="s">
        <v>25</v>
      </c>
      <c r="N32" t="s">
        <v>180</v>
      </c>
      <c r="O32" t="s">
        <v>27</v>
      </c>
      <c r="P32" t="s">
        <v>28</v>
      </c>
      <c r="Q32" t="s">
        <v>1125</v>
      </c>
    </row>
    <row r="33" spans="1:17">
      <c r="A33">
        <v>134927</v>
      </c>
      <c r="B33" t="s">
        <v>17</v>
      </c>
      <c r="C33" t="s">
        <v>35</v>
      </c>
      <c r="D33" t="s">
        <v>19</v>
      </c>
      <c r="E33" t="s">
        <v>35</v>
      </c>
      <c r="F33">
        <v>2252</v>
      </c>
      <c r="G33" t="s">
        <v>20</v>
      </c>
      <c r="H33" t="s">
        <v>181</v>
      </c>
      <c r="I33" t="s">
        <v>182</v>
      </c>
      <c r="J33" t="s">
        <v>158</v>
      </c>
      <c r="K33" t="s">
        <v>183</v>
      </c>
      <c r="L33">
        <v>129</v>
      </c>
      <c r="M33" t="s">
        <v>25</v>
      </c>
      <c r="N33" t="s">
        <v>184</v>
      </c>
      <c r="O33" t="s">
        <v>27</v>
      </c>
      <c r="P33" t="s">
        <v>28</v>
      </c>
      <c r="Q33" t="s">
        <v>1125</v>
      </c>
    </row>
    <row r="34" spans="1:17">
      <c r="A34">
        <v>123150</v>
      </c>
      <c r="B34" t="s">
        <v>34</v>
      </c>
      <c r="C34" t="s">
        <v>35</v>
      </c>
      <c r="D34" t="s">
        <v>19</v>
      </c>
      <c r="E34" t="s">
        <v>18</v>
      </c>
      <c r="F34">
        <v>2074</v>
      </c>
      <c r="G34" t="s">
        <v>20</v>
      </c>
      <c r="H34" t="s">
        <v>185</v>
      </c>
      <c r="I34" t="s">
        <v>186</v>
      </c>
      <c r="J34" t="s">
        <v>187</v>
      </c>
      <c r="K34" t="s">
        <v>188</v>
      </c>
      <c r="L34">
        <v>129</v>
      </c>
      <c r="M34" t="s">
        <v>25</v>
      </c>
      <c r="N34" t="s">
        <v>189</v>
      </c>
      <c r="O34" t="s">
        <v>27</v>
      </c>
      <c r="P34" t="s">
        <v>28</v>
      </c>
      <c r="Q34" t="s">
        <v>1125</v>
      </c>
    </row>
    <row r="35" spans="1:17">
      <c r="A35">
        <v>159145</v>
      </c>
      <c r="B35" t="s">
        <v>34</v>
      </c>
      <c r="C35" t="s">
        <v>35</v>
      </c>
      <c r="D35" t="s">
        <v>19</v>
      </c>
      <c r="E35" t="s">
        <v>18</v>
      </c>
      <c r="F35">
        <v>2579</v>
      </c>
      <c r="G35" t="s">
        <v>20</v>
      </c>
      <c r="H35" t="s">
        <v>190</v>
      </c>
      <c r="I35" t="s">
        <v>191</v>
      </c>
      <c r="J35" t="s">
        <v>59</v>
      </c>
      <c r="K35" t="s">
        <v>192</v>
      </c>
      <c r="L35">
        <v>109</v>
      </c>
      <c r="M35" t="s">
        <v>25</v>
      </c>
      <c r="N35" t="s">
        <v>193</v>
      </c>
      <c r="O35" t="s">
        <v>27</v>
      </c>
      <c r="P35" t="s">
        <v>28</v>
      </c>
      <c r="Q35" t="s">
        <v>1125</v>
      </c>
    </row>
    <row r="36" spans="1:17">
      <c r="A36">
        <v>172364</v>
      </c>
      <c r="B36" t="s">
        <v>17</v>
      </c>
      <c r="C36" t="s">
        <v>35</v>
      </c>
      <c r="D36" t="s">
        <v>19</v>
      </c>
      <c r="E36" t="s">
        <v>18</v>
      </c>
      <c r="F36">
        <v>2931</v>
      </c>
      <c r="G36" t="s">
        <v>20</v>
      </c>
      <c r="H36" t="s">
        <v>194</v>
      </c>
      <c r="I36" t="s">
        <v>195</v>
      </c>
      <c r="J36" t="s">
        <v>153</v>
      </c>
      <c r="K36" t="s">
        <v>196</v>
      </c>
      <c r="L36">
        <v>109</v>
      </c>
      <c r="M36" t="s">
        <v>25</v>
      </c>
      <c r="N36" t="s">
        <v>197</v>
      </c>
      <c r="O36" t="s">
        <v>27</v>
      </c>
      <c r="P36" t="s">
        <v>28</v>
      </c>
      <c r="Q36" t="s">
        <v>1125</v>
      </c>
    </row>
    <row r="37" spans="1:17">
      <c r="A37">
        <v>178281</v>
      </c>
      <c r="B37" t="s">
        <v>34</v>
      </c>
      <c r="C37" t="s">
        <v>18</v>
      </c>
      <c r="D37" t="s">
        <v>19</v>
      </c>
      <c r="E37" t="s">
        <v>35</v>
      </c>
      <c r="F37">
        <v>1145</v>
      </c>
      <c r="G37" t="s">
        <v>20</v>
      </c>
      <c r="H37" t="s">
        <v>198</v>
      </c>
      <c r="I37" t="s">
        <v>199</v>
      </c>
      <c r="J37" t="s">
        <v>200</v>
      </c>
      <c r="K37" t="s">
        <v>201</v>
      </c>
      <c r="L37">
        <v>109</v>
      </c>
      <c r="M37" t="s">
        <v>25</v>
      </c>
      <c r="N37" t="s">
        <v>202</v>
      </c>
      <c r="O37" t="s">
        <v>27</v>
      </c>
      <c r="P37" t="s">
        <v>28</v>
      </c>
      <c r="Q37" t="s">
        <v>1125</v>
      </c>
    </row>
    <row r="38" spans="1:17">
      <c r="A38">
        <v>194339</v>
      </c>
      <c r="B38" t="s">
        <v>34</v>
      </c>
      <c r="C38" t="s">
        <v>18</v>
      </c>
      <c r="D38" t="s">
        <v>19</v>
      </c>
      <c r="E38" t="s">
        <v>18</v>
      </c>
      <c r="F38">
        <v>1792</v>
      </c>
      <c r="G38" t="s">
        <v>20</v>
      </c>
      <c r="H38" t="s">
        <v>203</v>
      </c>
      <c r="I38" t="s">
        <v>204</v>
      </c>
      <c r="J38" t="s">
        <v>205</v>
      </c>
      <c r="K38" t="s">
        <v>206</v>
      </c>
      <c r="L38">
        <v>89.9</v>
      </c>
      <c r="M38" t="s">
        <v>25</v>
      </c>
      <c r="N38" t="s">
        <v>207</v>
      </c>
      <c r="O38" t="s">
        <v>27</v>
      </c>
      <c r="P38" t="s">
        <v>28</v>
      </c>
      <c r="Q38" t="s">
        <v>1125</v>
      </c>
    </row>
    <row r="39" spans="1:17">
      <c r="A39">
        <v>174412</v>
      </c>
      <c r="B39" t="s">
        <v>17</v>
      </c>
      <c r="C39" t="s">
        <v>18</v>
      </c>
      <c r="D39" t="s">
        <v>19</v>
      </c>
      <c r="E39" t="s">
        <v>35</v>
      </c>
      <c r="F39">
        <v>1796</v>
      </c>
      <c r="G39" t="s">
        <v>20</v>
      </c>
      <c r="H39" t="s">
        <v>208</v>
      </c>
      <c r="I39" t="s">
        <v>209</v>
      </c>
      <c r="J39" t="s">
        <v>109</v>
      </c>
      <c r="K39" t="s">
        <v>210</v>
      </c>
      <c r="L39">
        <v>69.900000000000006</v>
      </c>
      <c r="M39" t="s">
        <v>25</v>
      </c>
      <c r="N39" t="s">
        <v>211</v>
      </c>
      <c r="O39" t="s">
        <v>27</v>
      </c>
      <c r="P39" t="s">
        <v>28</v>
      </c>
      <c r="Q39" t="s">
        <v>1125</v>
      </c>
    </row>
    <row r="40" spans="1:17">
      <c r="A40">
        <v>114877</v>
      </c>
      <c r="B40" t="s">
        <v>17</v>
      </c>
      <c r="C40" t="s">
        <v>18</v>
      </c>
      <c r="D40" t="s">
        <v>19</v>
      </c>
      <c r="E40" t="s">
        <v>18</v>
      </c>
      <c r="F40">
        <v>1860</v>
      </c>
      <c r="G40" t="s">
        <v>20</v>
      </c>
      <c r="H40" t="s">
        <v>212</v>
      </c>
      <c r="I40" t="s">
        <v>213</v>
      </c>
      <c r="J40" t="s">
        <v>214</v>
      </c>
      <c r="K40" t="s">
        <v>215</v>
      </c>
      <c r="L40">
        <v>349</v>
      </c>
      <c r="M40" t="s">
        <v>25</v>
      </c>
      <c r="N40" t="s">
        <v>216</v>
      </c>
      <c r="O40" t="s">
        <v>27</v>
      </c>
      <c r="P40" t="s">
        <v>28</v>
      </c>
      <c r="Q40" t="s">
        <v>1125</v>
      </c>
    </row>
    <row r="41" spans="1:17">
      <c r="A41">
        <v>140727</v>
      </c>
      <c r="B41" t="s">
        <v>34</v>
      </c>
      <c r="C41" t="s">
        <v>35</v>
      </c>
      <c r="D41" t="s">
        <v>19</v>
      </c>
      <c r="E41" t="s">
        <v>35</v>
      </c>
      <c r="F41">
        <v>1002</v>
      </c>
      <c r="G41" t="s">
        <v>20</v>
      </c>
      <c r="H41" t="s">
        <v>217</v>
      </c>
      <c r="I41" t="s">
        <v>218</v>
      </c>
      <c r="J41" t="s">
        <v>53</v>
      </c>
      <c r="K41" t="s">
        <v>219</v>
      </c>
      <c r="L41">
        <v>79.900000000000006</v>
      </c>
      <c r="M41" t="s">
        <v>25</v>
      </c>
      <c r="N41" t="s">
        <v>220</v>
      </c>
      <c r="O41" t="s">
        <v>27</v>
      </c>
      <c r="P41" t="s">
        <v>28</v>
      </c>
      <c r="Q41" t="s">
        <v>1125</v>
      </c>
    </row>
    <row r="42" spans="1:17">
      <c r="A42">
        <v>133109</v>
      </c>
      <c r="B42" t="s">
        <v>56</v>
      </c>
      <c r="C42" t="s">
        <v>18</v>
      </c>
      <c r="D42" t="s">
        <v>19</v>
      </c>
      <c r="E42" t="s">
        <v>35</v>
      </c>
      <c r="F42">
        <v>2063</v>
      </c>
      <c r="G42" t="s">
        <v>20</v>
      </c>
      <c r="H42" t="s">
        <v>221</v>
      </c>
      <c r="I42" t="s">
        <v>222</v>
      </c>
      <c r="J42" t="s">
        <v>223</v>
      </c>
      <c r="K42" t="s">
        <v>224</v>
      </c>
      <c r="L42">
        <v>79.900000000000006</v>
      </c>
      <c r="M42" t="s">
        <v>25</v>
      </c>
      <c r="N42" t="s">
        <v>225</v>
      </c>
      <c r="O42" t="s">
        <v>27</v>
      </c>
      <c r="P42" t="s">
        <v>28</v>
      </c>
      <c r="Q42" t="s">
        <v>1125</v>
      </c>
    </row>
    <row r="43" spans="1:17">
      <c r="A43">
        <v>127296</v>
      </c>
      <c r="B43" t="s">
        <v>17</v>
      </c>
      <c r="C43" t="s">
        <v>18</v>
      </c>
      <c r="D43" t="s">
        <v>19</v>
      </c>
      <c r="E43" t="s">
        <v>18</v>
      </c>
      <c r="F43">
        <v>1165</v>
      </c>
      <c r="G43" t="s">
        <v>20</v>
      </c>
      <c r="H43" t="s">
        <v>226</v>
      </c>
      <c r="I43" t="s">
        <v>227</v>
      </c>
      <c r="J43" t="s">
        <v>228</v>
      </c>
      <c r="K43" t="s">
        <v>229</v>
      </c>
      <c r="L43">
        <v>89.9</v>
      </c>
      <c r="M43" t="s">
        <v>25</v>
      </c>
      <c r="N43" t="s">
        <v>230</v>
      </c>
      <c r="O43" t="s">
        <v>27</v>
      </c>
      <c r="P43" t="s">
        <v>28</v>
      </c>
      <c r="Q43" t="s">
        <v>1125</v>
      </c>
    </row>
    <row r="44" spans="1:17">
      <c r="A44">
        <v>133757</v>
      </c>
      <c r="B44" t="s">
        <v>17</v>
      </c>
      <c r="C44" t="s">
        <v>35</v>
      </c>
      <c r="D44" t="s">
        <v>19</v>
      </c>
      <c r="E44" t="s">
        <v>18</v>
      </c>
      <c r="F44">
        <v>2071</v>
      </c>
      <c r="G44" t="s">
        <v>20</v>
      </c>
      <c r="H44" t="s">
        <v>231</v>
      </c>
      <c r="I44" t="s">
        <v>232</v>
      </c>
      <c r="J44" t="s">
        <v>233</v>
      </c>
      <c r="K44" t="s">
        <v>234</v>
      </c>
      <c r="L44">
        <v>129</v>
      </c>
      <c r="M44" t="s">
        <v>25</v>
      </c>
      <c r="N44" t="s">
        <v>235</v>
      </c>
      <c r="O44" t="s">
        <v>27</v>
      </c>
      <c r="P44" t="s">
        <v>28</v>
      </c>
      <c r="Q44" t="s">
        <v>1125</v>
      </c>
    </row>
    <row r="45" spans="1:17">
      <c r="A45">
        <v>111760</v>
      </c>
      <c r="B45" t="s">
        <v>34</v>
      </c>
      <c r="C45" t="s">
        <v>18</v>
      </c>
      <c r="D45" t="s">
        <v>19</v>
      </c>
      <c r="E45" t="s">
        <v>18</v>
      </c>
      <c r="F45">
        <v>1474</v>
      </c>
      <c r="G45" t="s">
        <v>20</v>
      </c>
      <c r="H45" t="s">
        <v>236</v>
      </c>
      <c r="I45" t="s">
        <v>237</v>
      </c>
      <c r="J45" t="s">
        <v>238</v>
      </c>
      <c r="K45" t="s">
        <v>239</v>
      </c>
      <c r="L45">
        <v>109</v>
      </c>
      <c r="M45" t="s">
        <v>25</v>
      </c>
      <c r="N45" t="s">
        <v>240</v>
      </c>
      <c r="O45" t="s">
        <v>27</v>
      </c>
      <c r="P45" t="s">
        <v>28</v>
      </c>
      <c r="Q45" t="s">
        <v>1125</v>
      </c>
    </row>
    <row r="46" spans="1:17">
      <c r="A46">
        <v>198375</v>
      </c>
      <c r="B46" t="s">
        <v>34</v>
      </c>
      <c r="C46" t="s">
        <v>18</v>
      </c>
      <c r="D46" t="s">
        <v>19</v>
      </c>
      <c r="E46" t="s">
        <v>18</v>
      </c>
      <c r="F46">
        <v>2202</v>
      </c>
      <c r="G46" t="s">
        <v>20</v>
      </c>
      <c r="H46" t="s">
        <v>241</v>
      </c>
      <c r="I46" t="s">
        <v>242</v>
      </c>
      <c r="J46" t="s">
        <v>104</v>
      </c>
      <c r="K46" t="s">
        <v>243</v>
      </c>
      <c r="L46">
        <v>69.900000000000006</v>
      </c>
      <c r="M46" t="s">
        <v>25</v>
      </c>
      <c r="N46" t="s">
        <v>244</v>
      </c>
      <c r="O46" t="s">
        <v>27</v>
      </c>
      <c r="P46" t="s">
        <v>28</v>
      </c>
      <c r="Q46" t="s">
        <v>1125</v>
      </c>
    </row>
    <row r="47" spans="1:17">
      <c r="A47">
        <v>168837</v>
      </c>
      <c r="B47" t="s">
        <v>17</v>
      </c>
      <c r="C47" t="s">
        <v>18</v>
      </c>
      <c r="D47" t="s">
        <v>19</v>
      </c>
      <c r="E47" t="s">
        <v>18</v>
      </c>
      <c r="F47">
        <v>665</v>
      </c>
      <c r="G47" t="s">
        <v>20</v>
      </c>
      <c r="H47" t="s">
        <v>245</v>
      </c>
      <c r="I47" t="s">
        <v>246</v>
      </c>
      <c r="J47" t="s">
        <v>205</v>
      </c>
      <c r="K47" t="s">
        <v>206</v>
      </c>
      <c r="L47">
        <v>89.9</v>
      </c>
      <c r="M47" t="s">
        <v>25</v>
      </c>
      <c r="N47" t="s">
        <v>247</v>
      </c>
      <c r="O47" t="s">
        <v>27</v>
      </c>
      <c r="P47" t="s">
        <v>28</v>
      </c>
      <c r="Q47" t="s">
        <v>1125</v>
      </c>
    </row>
    <row r="48" spans="1:17">
      <c r="A48">
        <v>138505</v>
      </c>
      <c r="B48" t="s">
        <v>56</v>
      </c>
      <c r="C48" t="s">
        <v>18</v>
      </c>
      <c r="D48" t="s">
        <v>19</v>
      </c>
      <c r="E48" t="s">
        <v>18</v>
      </c>
      <c r="F48">
        <v>2478</v>
      </c>
      <c r="G48" t="s">
        <v>20</v>
      </c>
      <c r="H48" t="s">
        <v>248</v>
      </c>
      <c r="I48" t="s">
        <v>249</v>
      </c>
      <c r="J48" t="s">
        <v>250</v>
      </c>
      <c r="K48" t="s">
        <v>251</v>
      </c>
      <c r="L48">
        <v>69.900000000000006</v>
      </c>
      <c r="M48" t="s">
        <v>25</v>
      </c>
      <c r="N48" t="s">
        <v>252</v>
      </c>
      <c r="O48" t="s">
        <v>27</v>
      </c>
      <c r="P48" t="s">
        <v>28</v>
      </c>
      <c r="Q48" t="s">
        <v>1125</v>
      </c>
    </row>
    <row r="49" spans="1:17">
      <c r="A49">
        <v>116228</v>
      </c>
      <c r="B49" t="s">
        <v>34</v>
      </c>
      <c r="C49" t="s">
        <v>35</v>
      </c>
      <c r="D49" t="s">
        <v>19</v>
      </c>
      <c r="E49" t="s">
        <v>18</v>
      </c>
      <c r="F49">
        <v>647</v>
      </c>
      <c r="G49" t="s">
        <v>20</v>
      </c>
      <c r="H49" t="s">
        <v>253</v>
      </c>
      <c r="I49" t="s">
        <v>254</v>
      </c>
      <c r="J49" t="s">
        <v>255</v>
      </c>
      <c r="K49" t="s">
        <v>256</v>
      </c>
      <c r="L49">
        <v>89.9</v>
      </c>
      <c r="M49" t="s">
        <v>25</v>
      </c>
      <c r="N49" t="s">
        <v>257</v>
      </c>
      <c r="O49" t="s">
        <v>27</v>
      </c>
      <c r="P49" t="s">
        <v>28</v>
      </c>
      <c r="Q49" t="s">
        <v>1125</v>
      </c>
    </row>
    <row r="50" spans="1:17">
      <c r="A50">
        <v>167592</v>
      </c>
      <c r="B50" t="s">
        <v>56</v>
      </c>
      <c r="C50" t="s">
        <v>35</v>
      </c>
      <c r="D50" t="s">
        <v>19</v>
      </c>
      <c r="E50" t="s">
        <v>18</v>
      </c>
      <c r="F50">
        <v>707</v>
      </c>
      <c r="G50" t="s">
        <v>20</v>
      </c>
      <c r="H50" t="s">
        <v>258</v>
      </c>
      <c r="I50" t="s">
        <v>259</v>
      </c>
      <c r="J50" t="s">
        <v>260</v>
      </c>
      <c r="K50" t="s">
        <v>261</v>
      </c>
      <c r="L50">
        <v>89.9</v>
      </c>
      <c r="M50" t="s">
        <v>25</v>
      </c>
      <c r="N50" t="s">
        <v>262</v>
      </c>
      <c r="O50" t="s">
        <v>27</v>
      </c>
      <c r="P50" t="s">
        <v>28</v>
      </c>
      <c r="Q50" t="s">
        <v>1125</v>
      </c>
    </row>
    <row r="51" spans="1:17">
      <c r="A51">
        <v>133100</v>
      </c>
      <c r="B51" t="s">
        <v>34</v>
      </c>
      <c r="C51" t="s">
        <v>35</v>
      </c>
      <c r="D51" t="s">
        <v>19</v>
      </c>
      <c r="E51" t="s">
        <v>18</v>
      </c>
      <c r="F51">
        <v>2729</v>
      </c>
      <c r="G51" t="s">
        <v>20</v>
      </c>
      <c r="H51" t="s">
        <v>263</v>
      </c>
      <c r="I51" t="s">
        <v>264</v>
      </c>
      <c r="J51" t="s">
        <v>265</v>
      </c>
      <c r="K51" t="s">
        <v>266</v>
      </c>
      <c r="L51">
        <v>89.9</v>
      </c>
      <c r="M51" t="s">
        <v>25</v>
      </c>
      <c r="N51" t="s">
        <v>267</v>
      </c>
      <c r="O51" t="s">
        <v>27</v>
      </c>
      <c r="P51" t="s">
        <v>28</v>
      </c>
      <c r="Q51" t="s">
        <v>1125</v>
      </c>
    </row>
    <row r="52" spans="1:17">
      <c r="A52">
        <v>119955</v>
      </c>
      <c r="B52" t="s">
        <v>56</v>
      </c>
      <c r="C52" t="s">
        <v>18</v>
      </c>
      <c r="D52" t="s">
        <v>19</v>
      </c>
      <c r="E52" t="s">
        <v>18</v>
      </c>
      <c r="F52">
        <v>1590</v>
      </c>
      <c r="G52" t="s">
        <v>20</v>
      </c>
      <c r="H52" t="s">
        <v>268</v>
      </c>
      <c r="I52" t="s">
        <v>269</v>
      </c>
      <c r="J52" t="s">
        <v>200</v>
      </c>
      <c r="K52" t="s">
        <v>270</v>
      </c>
      <c r="L52">
        <v>89.9</v>
      </c>
      <c r="M52" t="s">
        <v>25</v>
      </c>
      <c r="N52" t="s">
        <v>271</v>
      </c>
      <c r="O52" t="s">
        <v>27</v>
      </c>
      <c r="P52" t="s">
        <v>28</v>
      </c>
      <c r="Q52" t="s">
        <v>1125</v>
      </c>
    </row>
    <row r="53" spans="1:17">
      <c r="A53">
        <v>189349</v>
      </c>
      <c r="B53" t="s">
        <v>34</v>
      </c>
      <c r="C53" t="s">
        <v>35</v>
      </c>
      <c r="D53" t="s">
        <v>19</v>
      </c>
      <c r="E53" t="s">
        <v>18</v>
      </c>
      <c r="F53">
        <v>1245</v>
      </c>
      <c r="G53" t="s">
        <v>20</v>
      </c>
      <c r="H53" t="s">
        <v>272</v>
      </c>
      <c r="I53" t="s">
        <v>273</v>
      </c>
      <c r="J53" t="s">
        <v>274</v>
      </c>
      <c r="K53" t="s">
        <v>275</v>
      </c>
      <c r="L53">
        <v>89.9</v>
      </c>
      <c r="M53" t="s">
        <v>25</v>
      </c>
      <c r="N53" t="s">
        <v>276</v>
      </c>
      <c r="O53" t="s">
        <v>27</v>
      </c>
      <c r="P53" t="s">
        <v>28</v>
      </c>
      <c r="Q53" t="s">
        <v>1125</v>
      </c>
    </row>
    <row r="54" spans="1:17">
      <c r="A54">
        <v>127478</v>
      </c>
      <c r="B54" t="s">
        <v>56</v>
      </c>
      <c r="C54" t="s">
        <v>18</v>
      </c>
      <c r="D54" t="s">
        <v>19</v>
      </c>
      <c r="E54" t="s">
        <v>35</v>
      </c>
      <c r="F54">
        <v>2498</v>
      </c>
      <c r="G54" t="s">
        <v>20</v>
      </c>
      <c r="H54" t="s">
        <v>277</v>
      </c>
      <c r="I54" t="s">
        <v>278</v>
      </c>
      <c r="J54" t="s">
        <v>279</v>
      </c>
      <c r="K54" t="s">
        <v>280</v>
      </c>
      <c r="L54">
        <v>129</v>
      </c>
      <c r="M54" t="s">
        <v>25</v>
      </c>
      <c r="N54" t="s">
        <v>281</v>
      </c>
      <c r="O54" t="s">
        <v>27</v>
      </c>
      <c r="P54" t="s">
        <v>28</v>
      </c>
      <c r="Q54" t="s">
        <v>1125</v>
      </c>
    </row>
    <row r="55" spans="1:17">
      <c r="A55">
        <v>180661</v>
      </c>
      <c r="B55" t="s">
        <v>56</v>
      </c>
      <c r="C55" t="s">
        <v>18</v>
      </c>
      <c r="D55" t="s">
        <v>19</v>
      </c>
      <c r="E55" t="s">
        <v>35</v>
      </c>
      <c r="F55">
        <v>1041</v>
      </c>
      <c r="G55" t="s">
        <v>20</v>
      </c>
      <c r="H55" t="s">
        <v>282</v>
      </c>
      <c r="I55" t="s">
        <v>283</v>
      </c>
      <c r="J55" t="s">
        <v>284</v>
      </c>
      <c r="K55" t="s">
        <v>285</v>
      </c>
      <c r="L55">
        <v>129</v>
      </c>
      <c r="M55" t="s">
        <v>25</v>
      </c>
      <c r="N55" t="s">
        <v>286</v>
      </c>
      <c r="O55" t="s">
        <v>27</v>
      </c>
      <c r="P55" t="s">
        <v>28</v>
      </c>
      <c r="Q55" t="s">
        <v>1125</v>
      </c>
    </row>
    <row r="56" spans="1:17">
      <c r="A56">
        <v>186681</v>
      </c>
      <c r="B56" t="s">
        <v>34</v>
      </c>
      <c r="C56" t="s">
        <v>18</v>
      </c>
      <c r="D56" t="s">
        <v>19</v>
      </c>
      <c r="E56" t="s">
        <v>35</v>
      </c>
      <c r="F56">
        <v>1717</v>
      </c>
      <c r="G56" t="s">
        <v>20</v>
      </c>
      <c r="H56" t="s">
        <v>287</v>
      </c>
      <c r="I56" t="s">
        <v>288</v>
      </c>
      <c r="J56" t="s">
        <v>289</v>
      </c>
      <c r="K56" t="s">
        <v>290</v>
      </c>
      <c r="L56">
        <v>19.989999999999998</v>
      </c>
      <c r="M56" t="s">
        <v>25</v>
      </c>
      <c r="N56" t="s">
        <v>291</v>
      </c>
      <c r="O56" t="s">
        <v>27</v>
      </c>
      <c r="P56" t="s">
        <v>28</v>
      </c>
      <c r="Q56" t="s">
        <v>1124</v>
      </c>
    </row>
    <row r="57" spans="1:17">
      <c r="A57">
        <v>133183</v>
      </c>
      <c r="B57" t="s">
        <v>56</v>
      </c>
      <c r="C57" t="s">
        <v>35</v>
      </c>
      <c r="D57" t="s">
        <v>19</v>
      </c>
      <c r="E57" t="s">
        <v>35</v>
      </c>
      <c r="F57">
        <v>2859</v>
      </c>
      <c r="G57" t="s">
        <v>20</v>
      </c>
      <c r="H57" t="s">
        <v>292</v>
      </c>
      <c r="I57" t="s">
        <v>293</v>
      </c>
      <c r="J57" t="s">
        <v>294</v>
      </c>
      <c r="K57" t="s">
        <v>295</v>
      </c>
      <c r="L57">
        <v>89.9</v>
      </c>
      <c r="M57" t="s">
        <v>25</v>
      </c>
      <c r="N57" t="s">
        <v>296</v>
      </c>
      <c r="O57" t="s">
        <v>27</v>
      </c>
      <c r="P57" t="s">
        <v>28</v>
      </c>
      <c r="Q57" t="s">
        <v>1125</v>
      </c>
    </row>
    <row r="58" spans="1:17">
      <c r="A58">
        <v>173508</v>
      </c>
      <c r="B58" t="s">
        <v>17</v>
      </c>
      <c r="C58" t="s">
        <v>35</v>
      </c>
      <c r="D58" t="s">
        <v>19</v>
      </c>
      <c r="E58" t="s">
        <v>18</v>
      </c>
      <c r="F58">
        <v>1658</v>
      </c>
      <c r="G58" t="s">
        <v>20</v>
      </c>
      <c r="H58" t="s">
        <v>297</v>
      </c>
      <c r="I58" t="s">
        <v>298</v>
      </c>
      <c r="J58" t="s">
        <v>299</v>
      </c>
      <c r="K58" t="s">
        <v>300</v>
      </c>
      <c r="L58">
        <v>129</v>
      </c>
      <c r="M58" t="s">
        <v>25</v>
      </c>
      <c r="N58" t="s">
        <v>301</v>
      </c>
      <c r="O58" t="s">
        <v>27</v>
      </c>
      <c r="P58" t="s">
        <v>28</v>
      </c>
      <c r="Q58" t="s">
        <v>1125</v>
      </c>
    </row>
    <row r="59" spans="1:17">
      <c r="A59">
        <v>187930</v>
      </c>
      <c r="B59" t="s">
        <v>34</v>
      </c>
      <c r="C59" t="s">
        <v>18</v>
      </c>
      <c r="D59" t="s">
        <v>19</v>
      </c>
      <c r="E59" t="s">
        <v>35</v>
      </c>
      <c r="F59">
        <v>706</v>
      </c>
      <c r="G59" t="s">
        <v>20</v>
      </c>
      <c r="H59" t="s">
        <v>302</v>
      </c>
      <c r="I59" t="s">
        <v>303</v>
      </c>
      <c r="J59" t="s">
        <v>304</v>
      </c>
      <c r="K59" t="s">
        <v>305</v>
      </c>
      <c r="L59">
        <v>89.9</v>
      </c>
      <c r="M59" t="s">
        <v>25</v>
      </c>
      <c r="N59" t="s">
        <v>306</v>
      </c>
      <c r="O59" t="s">
        <v>27</v>
      </c>
      <c r="P59" t="s">
        <v>28</v>
      </c>
      <c r="Q59" t="s">
        <v>1125</v>
      </c>
    </row>
    <row r="60" spans="1:17">
      <c r="A60">
        <v>124088</v>
      </c>
      <c r="B60" t="s">
        <v>34</v>
      </c>
      <c r="C60" t="s">
        <v>35</v>
      </c>
      <c r="D60" t="s">
        <v>19</v>
      </c>
      <c r="E60" t="s">
        <v>35</v>
      </c>
      <c r="F60">
        <v>2065</v>
      </c>
      <c r="G60" t="s">
        <v>20</v>
      </c>
      <c r="H60" t="s">
        <v>307</v>
      </c>
      <c r="I60" t="s">
        <v>308</v>
      </c>
      <c r="J60" t="s">
        <v>309</v>
      </c>
      <c r="K60" t="s">
        <v>310</v>
      </c>
      <c r="L60">
        <v>79.900000000000006</v>
      </c>
      <c r="M60" t="s">
        <v>25</v>
      </c>
      <c r="N60" t="s">
        <v>311</v>
      </c>
      <c r="O60" t="s">
        <v>27</v>
      </c>
      <c r="P60" t="s">
        <v>28</v>
      </c>
      <c r="Q60" t="s">
        <v>1125</v>
      </c>
    </row>
    <row r="61" spans="1:17">
      <c r="A61">
        <v>190238</v>
      </c>
      <c r="B61" t="s">
        <v>56</v>
      </c>
      <c r="C61" t="s">
        <v>18</v>
      </c>
      <c r="D61" t="s">
        <v>19</v>
      </c>
      <c r="E61" t="s">
        <v>35</v>
      </c>
      <c r="F61">
        <v>1917</v>
      </c>
      <c r="G61" t="s">
        <v>20</v>
      </c>
      <c r="H61" t="s">
        <v>312</v>
      </c>
      <c r="I61" t="s">
        <v>313</v>
      </c>
      <c r="J61" t="s">
        <v>314</v>
      </c>
      <c r="K61" t="s">
        <v>315</v>
      </c>
      <c r="L61">
        <v>89.9</v>
      </c>
      <c r="M61" t="s">
        <v>25</v>
      </c>
      <c r="N61" t="s">
        <v>316</v>
      </c>
      <c r="O61" t="s">
        <v>27</v>
      </c>
      <c r="P61" t="s">
        <v>28</v>
      </c>
      <c r="Q61" t="s">
        <v>1125</v>
      </c>
    </row>
    <row r="62" spans="1:17">
      <c r="A62">
        <v>163234</v>
      </c>
      <c r="B62" t="s">
        <v>56</v>
      </c>
      <c r="C62" t="s">
        <v>18</v>
      </c>
      <c r="D62" t="s">
        <v>19</v>
      </c>
      <c r="E62" t="s">
        <v>18</v>
      </c>
      <c r="F62">
        <v>1633</v>
      </c>
      <c r="G62" t="s">
        <v>20</v>
      </c>
      <c r="H62" t="s">
        <v>317</v>
      </c>
      <c r="I62" t="s">
        <v>318</v>
      </c>
      <c r="J62" t="s">
        <v>319</v>
      </c>
      <c r="K62" t="s">
        <v>320</v>
      </c>
      <c r="L62">
        <v>89.9</v>
      </c>
      <c r="M62" t="s">
        <v>25</v>
      </c>
      <c r="N62" t="s">
        <v>321</v>
      </c>
      <c r="O62" t="s">
        <v>27</v>
      </c>
      <c r="P62" t="s">
        <v>28</v>
      </c>
      <c r="Q62" t="s">
        <v>1125</v>
      </c>
    </row>
    <row r="63" spans="1:17">
      <c r="A63">
        <v>135610</v>
      </c>
      <c r="B63" t="s">
        <v>17</v>
      </c>
      <c r="C63" t="s">
        <v>35</v>
      </c>
      <c r="D63" t="s">
        <v>19</v>
      </c>
      <c r="E63" t="s">
        <v>35</v>
      </c>
      <c r="F63">
        <v>1513</v>
      </c>
      <c r="G63" t="s">
        <v>20</v>
      </c>
      <c r="H63" t="s">
        <v>322</v>
      </c>
      <c r="I63" t="s">
        <v>323</v>
      </c>
      <c r="J63" t="s">
        <v>324</v>
      </c>
      <c r="K63" t="s">
        <v>325</v>
      </c>
      <c r="L63">
        <v>109</v>
      </c>
      <c r="M63" t="s">
        <v>25</v>
      </c>
      <c r="N63" t="s">
        <v>326</v>
      </c>
      <c r="O63" t="s">
        <v>27</v>
      </c>
      <c r="P63" t="s">
        <v>28</v>
      </c>
      <c r="Q63" t="s">
        <v>1125</v>
      </c>
    </row>
    <row r="64" spans="1:17">
      <c r="A64">
        <v>117065</v>
      </c>
      <c r="B64" t="s">
        <v>17</v>
      </c>
      <c r="C64" t="s">
        <v>35</v>
      </c>
      <c r="D64" t="s">
        <v>19</v>
      </c>
      <c r="E64" t="s">
        <v>35</v>
      </c>
      <c r="F64">
        <v>758</v>
      </c>
      <c r="G64" t="s">
        <v>20</v>
      </c>
      <c r="H64" t="s">
        <v>327</v>
      </c>
      <c r="I64" t="s">
        <v>328</v>
      </c>
      <c r="J64" t="s">
        <v>329</v>
      </c>
      <c r="K64" t="s">
        <v>330</v>
      </c>
      <c r="L64">
        <v>109</v>
      </c>
      <c r="M64" t="s">
        <v>25</v>
      </c>
      <c r="N64" t="s">
        <v>331</v>
      </c>
      <c r="O64" t="s">
        <v>27</v>
      </c>
      <c r="P64" t="s">
        <v>28</v>
      </c>
      <c r="Q64" t="s">
        <v>1125</v>
      </c>
    </row>
    <row r="65" spans="1:17">
      <c r="A65">
        <v>149315</v>
      </c>
      <c r="B65" t="s">
        <v>34</v>
      </c>
      <c r="C65" t="s">
        <v>35</v>
      </c>
      <c r="D65" t="s">
        <v>19</v>
      </c>
      <c r="E65" t="s">
        <v>18</v>
      </c>
      <c r="F65">
        <v>718</v>
      </c>
      <c r="G65" t="s">
        <v>20</v>
      </c>
      <c r="H65" t="s">
        <v>332</v>
      </c>
      <c r="I65" t="s">
        <v>333</v>
      </c>
      <c r="J65" t="s">
        <v>334</v>
      </c>
      <c r="K65" t="s">
        <v>335</v>
      </c>
      <c r="L65">
        <v>109</v>
      </c>
      <c r="M65" t="s">
        <v>25</v>
      </c>
      <c r="N65" t="s">
        <v>336</v>
      </c>
      <c r="O65" t="s">
        <v>27</v>
      </c>
      <c r="P65" t="s">
        <v>28</v>
      </c>
      <c r="Q65" t="s">
        <v>1125</v>
      </c>
    </row>
    <row r="66" spans="1:17">
      <c r="A66">
        <v>149510</v>
      </c>
      <c r="B66" t="s">
        <v>17</v>
      </c>
      <c r="C66" t="s">
        <v>18</v>
      </c>
      <c r="D66" t="s">
        <v>19</v>
      </c>
      <c r="E66" t="s">
        <v>35</v>
      </c>
      <c r="F66">
        <v>1412</v>
      </c>
      <c r="G66" t="s">
        <v>20</v>
      </c>
      <c r="H66" t="s">
        <v>337</v>
      </c>
      <c r="I66" t="s">
        <v>338</v>
      </c>
      <c r="J66" t="s">
        <v>339</v>
      </c>
      <c r="K66" t="s">
        <v>340</v>
      </c>
      <c r="L66">
        <v>59.9</v>
      </c>
      <c r="M66" t="s">
        <v>25</v>
      </c>
      <c r="N66" t="s">
        <v>341</v>
      </c>
      <c r="O66" t="s">
        <v>27</v>
      </c>
      <c r="P66" t="s">
        <v>28</v>
      </c>
      <c r="Q66" t="s">
        <v>1125</v>
      </c>
    </row>
    <row r="67" spans="1:17">
      <c r="A67">
        <v>137990</v>
      </c>
      <c r="B67" t="s">
        <v>17</v>
      </c>
      <c r="C67" t="s">
        <v>18</v>
      </c>
      <c r="D67" t="s">
        <v>19</v>
      </c>
      <c r="E67" t="s">
        <v>18</v>
      </c>
      <c r="F67">
        <v>2929</v>
      </c>
      <c r="G67" t="s">
        <v>20</v>
      </c>
      <c r="H67" t="s">
        <v>342</v>
      </c>
      <c r="I67" t="s">
        <v>343</v>
      </c>
      <c r="J67" t="s">
        <v>344</v>
      </c>
      <c r="K67" t="s">
        <v>345</v>
      </c>
      <c r="L67">
        <v>29.99</v>
      </c>
      <c r="M67" t="s">
        <v>25</v>
      </c>
      <c r="N67" t="s">
        <v>346</v>
      </c>
      <c r="O67" t="s">
        <v>27</v>
      </c>
      <c r="P67" t="s">
        <v>28</v>
      </c>
      <c r="Q67" t="s">
        <v>1126</v>
      </c>
    </row>
    <row r="68" spans="1:17">
      <c r="A68">
        <v>154016</v>
      </c>
      <c r="B68" t="s">
        <v>34</v>
      </c>
      <c r="C68" t="s">
        <v>35</v>
      </c>
      <c r="D68" t="s">
        <v>19</v>
      </c>
      <c r="E68" t="s">
        <v>35</v>
      </c>
      <c r="F68">
        <v>2366</v>
      </c>
      <c r="G68" t="s">
        <v>20</v>
      </c>
      <c r="H68" t="s">
        <v>347</v>
      </c>
      <c r="I68" t="s">
        <v>348</v>
      </c>
      <c r="J68" t="s">
        <v>349</v>
      </c>
      <c r="K68" t="s">
        <v>350</v>
      </c>
      <c r="L68">
        <v>189</v>
      </c>
      <c r="M68" t="s">
        <v>25</v>
      </c>
      <c r="N68" t="s">
        <v>351</v>
      </c>
      <c r="O68" t="s">
        <v>27</v>
      </c>
      <c r="P68" t="s">
        <v>28</v>
      </c>
      <c r="Q68" t="s">
        <v>1125</v>
      </c>
    </row>
    <row r="69" spans="1:17">
      <c r="A69">
        <v>117751</v>
      </c>
      <c r="B69" t="s">
        <v>17</v>
      </c>
      <c r="C69" t="s">
        <v>18</v>
      </c>
      <c r="D69" t="s">
        <v>19</v>
      </c>
      <c r="E69" t="s">
        <v>18</v>
      </c>
      <c r="F69">
        <v>2749</v>
      </c>
      <c r="G69" t="s">
        <v>20</v>
      </c>
      <c r="H69" t="s">
        <v>352</v>
      </c>
      <c r="I69" t="s">
        <v>353</v>
      </c>
      <c r="J69" t="s">
        <v>354</v>
      </c>
      <c r="K69" t="s">
        <v>355</v>
      </c>
      <c r="L69">
        <v>89.9</v>
      </c>
      <c r="M69" t="s">
        <v>25</v>
      </c>
      <c r="N69" t="s">
        <v>356</v>
      </c>
      <c r="O69" t="s">
        <v>27</v>
      </c>
      <c r="P69" t="s">
        <v>28</v>
      </c>
      <c r="Q69" t="s">
        <v>1125</v>
      </c>
    </row>
    <row r="70" spans="1:17">
      <c r="A70">
        <v>182362</v>
      </c>
      <c r="B70" t="s">
        <v>56</v>
      </c>
      <c r="C70" t="s">
        <v>18</v>
      </c>
      <c r="D70" t="s">
        <v>19</v>
      </c>
      <c r="E70" t="s">
        <v>18</v>
      </c>
      <c r="F70">
        <v>2019</v>
      </c>
      <c r="G70" t="s">
        <v>20</v>
      </c>
      <c r="H70" t="s">
        <v>357</v>
      </c>
      <c r="I70" t="s">
        <v>358</v>
      </c>
      <c r="J70" t="s">
        <v>359</v>
      </c>
      <c r="K70" t="s">
        <v>360</v>
      </c>
      <c r="L70">
        <v>69.900000000000006</v>
      </c>
      <c r="M70" t="s">
        <v>25</v>
      </c>
      <c r="N70" t="s">
        <v>361</v>
      </c>
      <c r="O70" t="s">
        <v>27</v>
      </c>
      <c r="P70" t="s">
        <v>28</v>
      </c>
      <c r="Q70" t="s">
        <v>1125</v>
      </c>
    </row>
    <row r="71" spans="1:17">
      <c r="A71">
        <v>117725</v>
      </c>
      <c r="B71" t="s">
        <v>17</v>
      </c>
      <c r="C71" t="s">
        <v>18</v>
      </c>
      <c r="D71" t="s">
        <v>19</v>
      </c>
      <c r="E71" t="s">
        <v>35</v>
      </c>
      <c r="F71">
        <v>1506</v>
      </c>
      <c r="G71" t="s">
        <v>20</v>
      </c>
      <c r="H71" t="s">
        <v>362</v>
      </c>
      <c r="I71" t="s">
        <v>363</v>
      </c>
      <c r="J71" t="s">
        <v>364</v>
      </c>
      <c r="K71" t="s">
        <v>365</v>
      </c>
      <c r="L71">
        <v>109</v>
      </c>
      <c r="M71" t="s">
        <v>25</v>
      </c>
      <c r="N71" t="s">
        <v>366</v>
      </c>
      <c r="O71" t="s">
        <v>27</v>
      </c>
      <c r="P71" t="s">
        <v>28</v>
      </c>
      <c r="Q71" t="s">
        <v>1125</v>
      </c>
    </row>
    <row r="72" spans="1:17">
      <c r="A72">
        <v>145289</v>
      </c>
      <c r="B72" t="s">
        <v>34</v>
      </c>
      <c r="C72" t="s">
        <v>18</v>
      </c>
      <c r="D72" t="s">
        <v>19</v>
      </c>
      <c r="E72" t="s">
        <v>18</v>
      </c>
      <c r="F72">
        <v>1012</v>
      </c>
      <c r="G72" t="s">
        <v>20</v>
      </c>
      <c r="H72" t="s">
        <v>367</v>
      </c>
      <c r="I72" t="s">
        <v>368</v>
      </c>
      <c r="J72" t="s">
        <v>369</v>
      </c>
      <c r="K72" t="s">
        <v>370</v>
      </c>
      <c r="L72">
        <v>109</v>
      </c>
      <c r="M72" t="s">
        <v>25</v>
      </c>
      <c r="N72" t="s">
        <v>371</v>
      </c>
      <c r="O72" t="s">
        <v>27</v>
      </c>
      <c r="P72" t="s">
        <v>28</v>
      </c>
      <c r="Q72" t="s">
        <v>1125</v>
      </c>
    </row>
    <row r="73" spans="1:17">
      <c r="A73">
        <v>175059</v>
      </c>
      <c r="B73" t="s">
        <v>17</v>
      </c>
      <c r="C73" t="s">
        <v>35</v>
      </c>
      <c r="D73" t="s">
        <v>19</v>
      </c>
      <c r="E73" t="s">
        <v>18</v>
      </c>
      <c r="F73">
        <v>2170</v>
      </c>
      <c r="G73" t="s">
        <v>20</v>
      </c>
      <c r="H73" t="s">
        <v>372</v>
      </c>
      <c r="I73" t="s">
        <v>373</v>
      </c>
      <c r="J73" t="s">
        <v>143</v>
      </c>
      <c r="K73" t="s">
        <v>144</v>
      </c>
      <c r="L73">
        <v>49.9</v>
      </c>
      <c r="M73" t="s">
        <v>25</v>
      </c>
      <c r="N73" t="s">
        <v>374</v>
      </c>
      <c r="O73" t="s">
        <v>27</v>
      </c>
      <c r="P73" t="s">
        <v>28</v>
      </c>
      <c r="Q73" t="s">
        <v>1126</v>
      </c>
    </row>
    <row r="74" spans="1:17">
      <c r="A74">
        <v>199368</v>
      </c>
      <c r="B74" t="s">
        <v>56</v>
      </c>
      <c r="C74" t="s">
        <v>18</v>
      </c>
      <c r="D74" t="s">
        <v>19</v>
      </c>
      <c r="E74" t="s">
        <v>35</v>
      </c>
      <c r="F74">
        <v>1061</v>
      </c>
      <c r="G74" t="s">
        <v>20</v>
      </c>
      <c r="H74" t="s">
        <v>375</v>
      </c>
      <c r="I74" t="s">
        <v>376</v>
      </c>
      <c r="J74" t="s">
        <v>324</v>
      </c>
      <c r="K74" t="s">
        <v>377</v>
      </c>
      <c r="L74">
        <v>139</v>
      </c>
      <c r="M74" t="s">
        <v>25</v>
      </c>
      <c r="N74" t="s">
        <v>378</v>
      </c>
      <c r="O74" t="s">
        <v>27</v>
      </c>
      <c r="P74" t="s">
        <v>28</v>
      </c>
      <c r="Q74" t="s">
        <v>1125</v>
      </c>
    </row>
    <row r="75" spans="1:17">
      <c r="A75">
        <v>162883</v>
      </c>
      <c r="B75" t="s">
        <v>56</v>
      </c>
      <c r="C75" t="s">
        <v>35</v>
      </c>
      <c r="D75" t="s">
        <v>19</v>
      </c>
      <c r="E75" t="s">
        <v>18</v>
      </c>
      <c r="F75">
        <v>786</v>
      </c>
      <c r="G75" t="s">
        <v>20</v>
      </c>
      <c r="H75" t="s">
        <v>379</v>
      </c>
      <c r="I75" t="s">
        <v>380</v>
      </c>
      <c r="J75" t="s">
        <v>381</v>
      </c>
      <c r="K75" t="s">
        <v>382</v>
      </c>
      <c r="L75">
        <v>139</v>
      </c>
      <c r="M75" t="s">
        <v>25</v>
      </c>
      <c r="N75" t="s">
        <v>383</v>
      </c>
      <c r="O75" t="s">
        <v>27</v>
      </c>
      <c r="P75" t="s">
        <v>28</v>
      </c>
      <c r="Q75" t="s">
        <v>1125</v>
      </c>
    </row>
    <row r="76" spans="1:17">
      <c r="A76">
        <v>135490</v>
      </c>
      <c r="B76" t="s">
        <v>56</v>
      </c>
      <c r="C76" t="s">
        <v>18</v>
      </c>
      <c r="D76" t="s">
        <v>19</v>
      </c>
      <c r="E76" t="s">
        <v>18</v>
      </c>
      <c r="F76">
        <v>1094</v>
      </c>
      <c r="G76" t="s">
        <v>20</v>
      </c>
      <c r="H76" t="s">
        <v>384</v>
      </c>
      <c r="I76" t="s">
        <v>385</v>
      </c>
      <c r="J76" t="s">
        <v>386</v>
      </c>
      <c r="K76" t="s">
        <v>387</v>
      </c>
      <c r="L76">
        <v>139</v>
      </c>
      <c r="M76" t="s">
        <v>25</v>
      </c>
      <c r="N76" t="s">
        <v>388</v>
      </c>
      <c r="O76" t="s">
        <v>27</v>
      </c>
      <c r="P76" t="s">
        <v>28</v>
      </c>
      <c r="Q76" t="s">
        <v>1125</v>
      </c>
    </row>
    <row r="77" spans="1:17">
      <c r="A77">
        <v>125408</v>
      </c>
      <c r="B77" t="s">
        <v>34</v>
      </c>
      <c r="C77" t="s">
        <v>35</v>
      </c>
      <c r="D77" t="s">
        <v>19</v>
      </c>
      <c r="E77" t="s">
        <v>35</v>
      </c>
      <c r="F77">
        <v>2220</v>
      </c>
      <c r="G77" t="s">
        <v>20</v>
      </c>
      <c r="H77" t="s">
        <v>389</v>
      </c>
      <c r="I77" t="s">
        <v>390</v>
      </c>
      <c r="J77" t="s">
        <v>178</v>
      </c>
      <c r="K77" t="s">
        <v>179</v>
      </c>
      <c r="L77">
        <v>89.9</v>
      </c>
      <c r="M77" t="s">
        <v>25</v>
      </c>
      <c r="N77" t="s">
        <v>391</v>
      </c>
      <c r="O77" t="s">
        <v>27</v>
      </c>
      <c r="P77" t="s">
        <v>28</v>
      </c>
      <c r="Q77" t="s">
        <v>1125</v>
      </c>
    </row>
    <row r="78" spans="1:17">
      <c r="A78">
        <v>134763</v>
      </c>
      <c r="B78" t="s">
        <v>56</v>
      </c>
      <c r="C78" t="s">
        <v>18</v>
      </c>
      <c r="D78" t="s">
        <v>19</v>
      </c>
      <c r="E78" t="s">
        <v>35</v>
      </c>
      <c r="F78">
        <v>2048</v>
      </c>
      <c r="G78" t="s">
        <v>20</v>
      </c>
      <c r="H78" t="s">
        <v>392</v>
      </c>
      <c r="I78" t="s">
        <v>393</v>
      </c>
      <c r="J78" t="s">
        <v>394</v>
      </c>
      <c r="K78" t="s">
        <v>395</v>
      </c>
      <c r="L78">
        <v>89.9</v>
      </c>
      <c r="M78" t="s">
        <v>25</v>
      </c>
      <c r="N78" t="s">
        <v>396</v>
      </c>
      <c r="O78" t="s">
        <v>27</v>
      </c>
      <c r="P78" t="s">
        <v>28</v>
      </c>
      <c r="Q78" t="s">
        <v>1125</v>
      </c>
    </row>
    <row r="79" spans="1:17">
      <c r="A79">
        <v>143231</v>
      </c>
      <c r="B79" t="s">
        <v>17</v>
      </c>
      <c r="C79" t="s">
        <v>18</v>
      </c>
      <c r="D79" t="s">
        <v>19</v>
      </c>
      <c r="E79" t="s">
        <v>18</v>
      </c>
      <c r="F79">
        <v>2578</v>
      </c>
      <c r="G79" t="s">
        <v>20</v>
      </c>
      <c r="H79" t="s">
        <v>397</v>
      </c>
      <c r="I79" t="s">
        <v>398</v>
      </c>
      <c r="J79" t="s">
        <v>381</v>
      </c>
      <c r="K79" t="s">
        <v>399</v>
      </c>
      <c r="L79">
        <v>89.9</v>
      </c>
      <c r="M79" t="s">
        <v>25</v>
      </c>
      <c r="N79" t="s">
        <v>400</v>
      </c>
      <c r="O79" t="s">
        <v>27</v>
      </c>
      <c r="P79" t="s">
        <v>28</v>
      </c>
      <c r="Q79" t="s">
        <v>1125</v>
      </c>
    </row>
    <row r="80" spans="1:17">
      <c r="A80">
        <v>125409</v>
      </c>
      <c r="B80" t="s">
        <v>34</v>
      </c>
      <c r="C80" t="s">
        <v>35</v>
      </c>
      <c r="D80" t="s">
        <v>19</v>
      </c>
      <c r="E80" t="s">
        <v>18</v>
      </c>
      <c r="F80">
        <v>2040</v>
      </c>
      <c r="G80" t="s">
        <v>20</v>
      </c>
      <c r="H80" t="s">
        <v>401</v>
      </c>
      <c r="I80" t="s">
        <v>402</v>
      </c>
      <c r="J80" t="s">
        <v>403</v>
      </c>
      <c r="K80" t="s">
        <v>404</v>
      </c>
      <c r="L80">
        <v>89.9</v>
      </c>
      <c r="M80" t="s">
        <v>25</v>
      </c>
      <c r="N80" t="s">
        <v>405</v>
      </c>
      <c r="O80" t="s">
        <v>27</v>
      </c>
      <c r="P80" t="s">
        <v>28</v>
      </c>
      <c r="Q80" t="s">
        <v>1125</v>
      </c>
    </row>
    <row r="81" spans="1:17">
      <c r="A81">
        <v>183074</v>
      </c>
      <c r="B81" t="s">
        <v>17</v>
      </c>
      <c r="C81" t="s">
        <v>18</v>
      </c>
      <c r="D81" t="s">
        <v>19</v>
      </c>
      <c r="E81" t="s">
        <v>18</v>
      </c>
      <c r="F81">
        <v>2791</v>
      </c>
      <c r="G81" t="s">
        <v>20</v>
      </c>
      <c r="H81" t="s">
        <v>406</v>
      </c>
      <c r="I81" t="s">
        <v>407</v>
      </c>
      <c r="J81" t="s">
        <v>408</v>
      </c>
      <c r="K81" t="s">
        <v>409</v>
      </c>
      <c r="L81">
        <v>89.9</v>
      </c>
      <c r="M81" t="s">
        <v>25</v>
      </c>
      <c r="N81" t="s">
        <v>410</v>
      </c>
      <c r="O81" t="s">
        <v>27</v>
      </c>
      <c r="P81" t="s">
        <v>28</v>
      </c>
      <c r="Q81" t="s">
        <v>1125</v>
      </c>
    </row>
    <row r="82" spans="1:17">
      <c r="A82">
        <v>147947</v>
      </c>
      <c r="B82" t="s">
        <v>17</v>
      </c>
      <c r="C82" t="s">
        <v>35</v>
      </c>
      <c r="D82" t="s">
        <v>19</v>
      </c>
      <c r="E82" t="s">
        <v>35</v>
      </c>
      <c r="F82">
        <v>1249</v>
      </c>
      <c r="G82" t="s">
        <v>20</v>
      </c>
      <c r="H82" t="s">
        <v>411</v>
      </c>
      <c r="I82" t="s">
        <v>412</v>
      </c>
      <c r="J82" t="s">
        <v>413</v>
      </c>
      <c r="K82" t="s">
        <v>414</v>
      </c>
      <c r="L82">
        <v>89.9</v>
      </c>
      <c r="M82" t="s">
        <v>25</v>
      </c>
      <c r="N82" t="s">
        <v>415</v>
      </c>
      <c r="O82" t="s">
        <v>27</v>
      </c>
      <c r="P82" t="s">
        <v>28</v>
      </c>
      <c r="Q82" t="s">
        <v>1125</v>
      </c>
    </row>
    <row r="83" spans="1:17">
      <c r="A83">
        <v>174171</v>
      </c>
      <c r="B83" t="s">
        <v>56</v>
      </c>
      <c r="C83" t="s">
        <v>35</v>
      </c>
      <c r="D83" t="s">
        <v>19</v>
      </c>
      <c r="E83" t="s">
        <v>35</v>
      </c>
      <c r="F83">
        <v>2273</v>
      </c>
      <c r="G83" t="s">
        <v>20</v>
      </c>
      <c r="H83" t="s">
        <v>416</v>
      </c>
      <c r="I83" t="s">
        <v>417</v>
      </c>
      <c r="J83" t="s">
        <v>418</v>
      </c>
      <c r="K83" t="s">
        <v>419</v>
      </c>
      <c r="L83">
        <v>89.9</v>
      </c>
      <c r="M83" t="s">
        <v>25</v>
      </c>
      <c r="N83" t="s">
        <v>420</v>
      </c>
      <c r="O83" t="s">
        <v>27</v>
      </c>
      <c r="P83" t="s">
        <v>28</v>
      </c>
      <c r="Q83" t="s">
        <v>1125</v>
      </c>
    </row>
    <row r="84" spans="1:17">
      <c r="A84">
        <v>183064</v>
      </c>
      <c r="B84" t="s">
        <v>56</v>
      </c>
      <c r="C84" t="s">
        <v>35</v>
      </c>
      <c r="D84" t="s">
        <v>19</v>
      </c>
      <c r="E84" t="s">
        <v>18</v>
      </c>
      <c r="F84">
        <v>1773</v>
      </c>
      <c r="G84" t="s">
        <v>20</v>
      </c>
      <c r="H84" t="s">
        <v>421</v>
      </c>
      <c r="I84" t="s">
        <v>422</v>
      </c>
      <c r="J84" t="s">
        <v>423</v>
      </c>
      <c r="K84" t="s">
        <v>424</v>
      </c>
      <c r="L84">
        <v>89.9</v>
      </c>
      <c r="M84" t="s">
        <v>25</v>
      </c>
      <c r="N84" t="s">
        <v>425</v>
      </c>
      <c r="O84" t="s">
        <v>27</v>
      </c>
      <c r="P84" t="s">
        <v>28</v>
      </c>
      <c r="Q84" t="s">
        <v>1125</v>
      </c>
    </row>
    <row r="85" spans="1:17">
      <c r="A85">
        <v>177131</v>
      </c>
      <c r="B85" t="s">
        <v>17</v>
      </c>
      <c r="C85" t="s">
        <v>35</v>
      </c>
      <c r="D85" t="s">
        <v>19</v>
      </c>
      <c r="E85" t="s">
        <v>35</v>
      </c>
      <c r="F85">
        <v>1733</v>
      </c>
      <c r="G85" t="s">
        <v>20</v>
      </c>
      <c r="H85" t="s">
        <v>426</v>
      </c>
      <c r="I85" t="s">
        <v>427</v>
      </c>
      <c r="J85" t="s">
        <v>428</v>
      </c>
      <c r="K85" t="s">
        <v>429</v>
      </c>
      <c r="L85">
        <v>69.900000000000006</v>
      </c>
      <c r="M85" t="s">
        <v>25</v>
      </c>
      <c r="N85" t="s">
        <v>430</v>
      </c>
      <c r="O85" t="s">
        <v>27</v>
      </c>
      <c r="P85" t="s">
        <v>28</v>
      </c>
      <c r="Q85" t="s">
        <v>1125</v>
      </c>
    </row>
    <row r="86" spans="1:17">
      <c r="A86">
        <v>128179</v>
      </c>
      <c r="B86" t="s">
        <v>34</v>
      </c>
      <c r="C86" t="s">
        <v>35</v>
      </c>
      <c r="D86" t="s">
        <v>19</v>
      </c>
      <c r="E86" t="s">
        <v>18</v>
      </c>
      <c r="F86">
        <v>2060</v>
      </c>
      <c r="G86" t="s">
        <v>20</v>
      </c>
      <c r="H86" t="s">
        <v>431</v>
      </c>
      <c r="I86" t="s">
        <v>432</v>
      </c>
      <c r="J86" t="s">
        <v>433</v>
      </c>
      <c r="K86" t="s">
        <v>434</v>
      </c>
      <c r="L86">
        <v>89.9</v>
      </c>
      <c r="M86" t="s">
        <v>25</v>
      </c>
      <c r="N86" t="s">
        <v>435</v>
      </c>
      <c r="O86" t="s">
        <v>27</v>
      </c>
      <c r="P86" t="s">
        <v>28</v>
      </c>
      <c r="Q86" t="s">
        <v>1125</v>
      </c>
    </row>
    <row r="87" spans="1:17">
      <c r="A87">
        <v>152723</v>
      </c>
      <c r="B87" t="s">
        <v>17</v>
      </c>
      <c r="C87" t="s">
        <v>18</v>
      </c>
      <c r="D87" t="s">
        <v>19</v>
      </c>
      <c r="E87" t="s">
        <v>35</v>
      </c>
      <c r="F87">
        <v>2849</v>
      </c>
      <c r="G87" t="s">
        <v>20</v>
      </c>
      <c r="H87" t="s">
        <v>436</v>
      </c>
      <c r="I87" t="s">
        <v>437</v>
      </c>
      <c r="J87" t="s">
        <v>438</v>
      </c>
      <c r="K87" t="s">
        <v>439</v>
      </c>
      <c r="L87">
        <v>169</v>
      </c>
      <c r="M87" t="s">
        <v>25</v>
      </c>
      <c r="N87" t="s">
        <v>440</v>
      </c>
      <c r="O87" t="s">
        <v>27</v>
      </c>
      <c r="P87" t="s">
        <v>28</v>
      </c>
      <c r="Q87" t="s">
        <v>1125</v>
      </c>
    </row>
    <row r="88" spans="1:17">
      <c r="A88">
        <v>123824</v>
      </c>
      <c r="B88" t="s">
        <v>17</v>
      </c>
      <c r="C88" t="s">
        <v>35</v>
      </c>
      <c r="D88" t="s">
        <v>19</v>
      </c>
      <c r="E88" t="s">
        <v>18</v>
      </c>
      <c r="F88">
        <v>2277</v>
      </c>
      <c r="G88" t="s">
        <v>20</v>
      </c>
      <c r="H88" t="s">
        <v>441</v>
      </c>
      <c r="I88" t="s">
        <v>442</v>
      </c>
      <c r="J88" t="s">
        <v>443</v>
      </c>
      <c r="K88" t="s">
        <v>444</v>
      </c>
      <c r="L88">
        <v>169</v>
      </c>
      <c r="M88" t="s">
        <v>25</v>
      </c>
      <c r="N88" t="s">
        <v>445</v>
      </c>
      <c r="O88" t="s">
        <v>27</v>
      </c>
      <c r="P88" t="s">
        <v>28</v>
      </c>
      <c r="Q88" t="s">
        <v>1125</v>
      </c>
    </row>
    <row r="89" spans="1:17">
      <c r="A89">
        <v>166345</v>
      </c>
      <c r="B89" t="s">
        <v>17</v>
      </c>
      <c r="C89" t="s">
        <v>18</v>
      </c>
      <c r="D89" t="s">
        <v>19</v>
      </c>
      <c r="E89" t="s">
        <v>35</v>
      </c>
      <c r="F89">
        <v>1135</v>
      </c>
      <c r="G89" t="s">
        <v>20</v>
      </c>
      <c r="H89" t="s">
        <v>446</v>
      </c>
      <c r="I89" t="s">
        <v>447</v>
      </c>
      <c r="J89" t="s">
        <v>448</v>
      </c>
      <c r="K89" t="s">
        <v>449</v>
      </c>
      <c r="L89">
        <v>69.900000000000006</v>
      </c>
      <c r="M89" t="s">
        <v>25</v>
      </c>
      <c r="N89" t="s">
        <v>450</v>
      </c>
      <c r="O89" t="s">
        <v>27</v>
      </c>
      <c r="P89" t="s">
        <v>28</v>
      </c>
      <c r="Q89" t="s">
        <v>1125</v>
      </c>
    </row>
    <row r="90" spans="1:17">
      <c r="A90">
        <v>199279</v>
      </c>
      <c r="B90" t="s">
        <v>17</v>
      </c>
      <c r="C90" t="s">
        <v>18</v>
      </c>
      <c r="D90" t="s">
        <v>19</v>
      </c>
      <c r="E90" t="s">
        <v>18</v>
      </c>
      <c r="F90">
        <v>1770</v>
      </c>
      <c r="G90" t="s">
        <v>20</v>
      </c>
      <c r="H90" t="s">
        <v>451</v>
      </c>
      <c r="I90" t="s">
        <v>452</v>
      </c>
      <c r="J90" t="s">
        <v>453</v>
      </c>
      <c r="K90" t="s">
        <v>454</v>
      </c>
      <c r="L90">
        <v>19.989999999999998</v>
      </c>
      <c r="M90" t="s">
        <v>25</v>
      </c>
      <c r="N90" t="s">
        <v>455</v>
      </c>
      <c r="O90" t="s">
        <v>27</v>
      </c>
      <c r="P90" t="s">
        <v>28</v>
      </c>
      <c r="Q90" t="s">
        <v>1124</v>
      </c>
    </row>
    <row r="91" spans="1:17">
      <c r="A91">
        <v>167981</v>
      </c>
      <c r="B91" t="s">
        <v>34</v>
      </c>
      <c r="C91" t="s">
        <v>18</v>
      </c>
      <c r="D91" t="s">
        <v>19</v>
      </c>
      <c r="E91" t="s">
        <v>18</v>
      </c>
      <c r="F91">
        <v>730</v>
      </c>
      <c r="G91" t="s">
        <v>20</v>
      </c>
      <c r="H91" t="s">
        <v>456</v>
      </c>
      <c r="I91" t="s">
        <v>457</v>
      </c>
      <c r="J91" t="s">
        <v>458</v>
      </c>
      <c r="K91" t="s">
        <v>459</v>
      </c>
      <c r="L91">
        <v>139</v>
      </c>
      <c r="M91" t="s">
        <v>25</v>
      </c>
      <c r="N91" t="s">
        <v>460</v>
      </c>
      <c r="O91" t="s">
        <v>27</v>
      </c>
      <c r="P91" t="s">
        <v>28</v>
      </c>
      <c r="Q91" t="s">
        <v>1125</v>
      </c>
    </row>
    <row r="92" spans="1:17">
      <c r="A92">
        <v>146839</v>
      </c>
      <c r="B92" t="s">
        <v>17</v>
      </c>
      <c r="C92" t="s">
        <v>18</v>
      </c>
      <c r="D92" t="s">
        <v>19</v>
      </c>
      <c r="E92" t="s">
        <v>18</v>
      </c>
      <c r="F92">
        <v>1525</v>
      </c>
      <c r="G92" t="s">
        <v>20</v>
      </c>
      <c r="H92" t="s">
        <v>461</v>
      </c>
      <c r="I92" t="s">
        <v>462</v>
      </c>
      <c r="J92" t="s">
        <v>200</v>
      </c>
      <c r="K92" t="s">
        <v>463</v>
      </c>
      <c r="L92">
        <v>109</v>
      </c>
      <c r="M92" t="s">
        <v>25</v>
      </c>
      <c r="N92" t="s">
        <v>464</v>
      </c>
      <c r="O92" t="s">
        <v>27</v>
      </c>
      <c r="P92" t="s">
        <v>28</v>
      </c>
      <c r="Q92" t="s">
        <v>1125</v>
      </c>
    </row>
    <row r="93" spans="1:17">
      <c r="A93">
        <v>187180</v>
      </c>
      <c r="B93" t="s">
        <v>56</v>
      </c>
      <c r="C93" t="s">
        <v>18</v>
      </c>
      <c r="D93" t="s">
        <v>19</v>
      </c>
      <c r="E93" t="s">
        <v>35</v>
      </c>
      <c r="F93">
        <v>647</v>
      </c>
      <c r="G93" t="s">
        <v>20</v>
      </c>
      <c r="H93" t="s">
        <v>465</v>
      </c>
      <c r="I93" t="s">
        <v>466</v>
      </c>
      <c r="J93" t="s">
        <v>453</v>
      </c>
      <c r="K93" t="s">
        <v>467</v>
      </c>
      <c r="L93">
        <v>109</v>
      </c>
      <c r="M93" t="s">
        <v>25</v>
      </c>
      <c r="N93" t="s">
        <v>468</v>
      </c>
      <c r="O93" t="s">
        <v>27</v>
      </c>
      <c r="P93" t="s">
        <v>28</v>
      </c>
      <c r="Q93" t="s">
        <v>1125</v>
      </c>
    </row>
    <row r="94" spans="1:17">
      <c r="A94">
        <v>167640</v>
      </c>
      <c r="B94" t="s">
        <v>34</v>
      </c>
      <c r="C94" t="s">
        <v>35</v>
      </c>
      <c r="D94" t="s">
        <v>19</v>
      </c>
      <c r="E94" t="s">
        <v>35</v>
      </c>
      <c r="F94">
        <v>1017</v>
      </c>
      <c r="G94" t="s">
        <v>20</v>
      </c>
      <c r="H94" t="s">
        <v>469</v>
      </c>
      <c r="I94" t="s">
        <v>470</v>
      </c>
      <c r="J94" t="s">
        <v>453</v>
      </c>
      <c r="K94" t="s">
        <v>471</v>
      </c>
      <c r="L94">
        <v>109</v>
      </c>
      <c r="M94" t="s">
        <v>25</v>
      </c>
      <c r="N94" t="s">
        <v>472</v>
      </c>
      <c r="O94" t="s">
        <v>27</v>
      </c>
      <c r="P94" t="s">
        <v>28</v>
      </c>
      <c r="Q94" t="s">
        <v>1125</v>
      </c>
    </row>
    <row r="95" spans="1:17">
      <c r="A95">
        <v>165158</v>
      </c>
      <c r="B95" t="s">
        <v>56</v>
      </c>
      <c r="C95" t="s">
        <v>18</v>
      </c>
      <c r="D95" t="s">
        <v>19</v>
      </c>
      <c r="E95" t="s">
        <v>18</v>
      </c>
      <c r="F95">
        <v>1622</v>
      </c>
      <c r="G95" t="s">
        <v>20</v>
      </c>
      <c r="H95" t="s">
        <v>473</v>
      </c>
      <c r="I95" t="s">
        <v>474</v>
      </c>
      <c r="J95" t="s">
        <v>475</v>
      </c>
      <c r="K95" t="s">
        <v>476</v>
      </c>
      <c r="L95">
        <v>109</v>
      </c>
      <c r="M95" t="s">
        <v>25</v>
      </c>
      <c r="N95" t="s">
        <v>477</v>
      </c>
      <c r="O95" t="s">
        <v>27</v>
      </c>
      <c r="P95" t="s">
        <v>28</v>
      </c>
      <c r="Q95" t="s">
        <v>1125</v>
      </c>
    </row>
    <row r="96" spans="1:17">
      <c r="A96">
        <v>111521</v>
      </c>
      <c r="B96" t="s">
        <v>56</v>
      </c>
      <c r="C96" t="s">
        <v>35</v>
      </c>
      <c r="D96" t="s">
        <v>19</v>
      </c>
      <c r="E96" t="s">
        <v>35</v>
      </c>
      <c r="F96">
        <v>2553</v>
      </c>
      <c r="G96" t="s">
        <v>20</v>
      </c>
      <c r="H96" t="s">
        <v>478</v>
      </c>
      <c r="I96" t="s">
        <v>479</v>
      </c>
      <c r="J96" t="s">
        <v>480</v>
      </c>
      <c r="K96" t="s">
        <v>481</v>
      </c>
      <c r="L96">
        <v>99.9</v>
      </c>
      <c r="M96" t="s">
        <v>25</v>
      </c>
      <c r="N96" t="s">
        <v>482</v>
      </c>
      <c r="O96" t="s">
        <v>27</v>
      </c>
      <c r="P96" t="s">
        <v>28</v>
      </c>
      <c r="Q96" t="s">
        <v>1125</v>
      </c>
    </row>
    <row r="97" spans="1:17">
      <c r="A97">
        <v>120228</v>
      </c>
      <c r="B97" t="s">
        <v>34</v>
      </c>
      <c r="C97" t="s">
        <v>18</v>
      </c>
      <c r="D97" t="s">
        <v>19</v>
      </c>
      <c r="E97" t="s">
        <v>18</v>
      </c>
      <c r="F97">
        <v>2347</v>
      </c>
      <c r="G97" t="s">
        <v>20</v>
      </c>
      <c r="H97" t="s">
        <v>483</v>
      </c>
      <c r="I97" t="s">
        <v>484</v>
      </c>
      <c r="J97" t="s">
        <v>74</v>
      </c>
      <c r="K97" t="s">
        <v>485</v>
      </c>
      <c r="L97">
        <v>89.9</v>
      </c>
      <c r="M97" t="s">
        <v>25</v>
      </c>
      <c r="N97" t="s">
        <v>486</v>
      </c>
      <c r="O97" t="s">
        <v>27</v>
      </c>
      <c r="P97" t="s">
        <v>28</v>
      </c>
      <c r="Q97" t="s">
        <v>1125</v>
      </c>
    </row>
    <row r="98" spans="1:17">
      <c r="A98">
        <v>133078</v>
      </c>
      <c r="B98" t="s">
        <v>17</v>
      </c>
      <c r="C98" t="s">
        <v>18</v>
      </c>
      <c r="D98" t="s">
        <v>19</v>
      </c>
      <c r="E98" t="s">
        <v>35</v>
      </c>
      <c r="F98">
        <v>2535</v>
      </c>
      <c r="G98" t="s">
        <v>20</v>
      </c>
      <c r="H98" t="s">
        <v>487</v>
      </c>
      <c r="I98" t="s">
        <v>488</v>
      </c>
      <c r="J98" t="s">
        <v>394</v>
      </c>
      <c r="K98" t="s">
        <v>489</v>
      </c>
      <c r="L98">
        <v>69.900000000000006</v>
      </c>
      <c r="M98" t="s">
        <v>25</v>
      </c>
      <c r="N98" t="s">
        <v>490</v>
      </c>
      <c r="O98" t="s">
        <v>27</v>
      </c>
      <c r="P98" t="s">
        <v>28</v>
      </c>
      <c r="Q98" t="s">
        <v>1125</v>
      </c>
    </row>
    <row r="99" spans="1:17">
      <c r="A99">
        <v>137598</v>
      </c>
      <c r="B99" t="s">
        <v>17</v>
      </c>
      <c r="C99" t="s">
        <v>18</v>
      </c>
      <c r="D99" t="s">
        <v>19</v>
      </c>
      <c r="E99" t="s">
        <v>35</v>
      </c>
      <c r="F99">
        <v>2839</v>
      </c>
      <c r="G99" t="s">
        <v>20</v>
      </c>
      <c r="H99" t="s">
        <v>491</v>
      </c>
      <c r="I99" t="s">
        <v>492</v>
      </c>
      <c r="J99" t="s">
        <v>299</v>
      </c>
      <c r="K99" t="s">
        <v>493</v>
      </c>
      <c r="L99">
        <v>139</v>
      </c>
      <c r="M99" t="s">
        <v>25</v>
      </c>
      <c r="N99" t="s">
        <v>494</v>
      </c>
      <c r="O99" t="s">
        <v>27</v>
      </c>
      <c r="P99" t="s">
        <v>28</v>
      </c>
      <c r="Q99" t="s">
        <v>1125</v>
      </c>
    </row>
    <row r="100" spans="1:17">
      <c r="A100">
        <v>138779</v>
      </c>
      <c r="B100" t="s">
        <v>56</v>
      </c>
      <c r="C100" t="s">
        <v>35</v>
      </c>
      <c r="D100" t="s">
        <v>19</v>
      </c>
      <c r="E100" t="s">
        <v>35</v>
      </c>
      <c r="F100">
        <v>2801</v>
      </c>
      <c r="G100" t="s">
        <v>20</v>
      </c>
      <c r="H100" t="s">
        <v>495</v>
      </c>
      <c r="I100" t="s">
        <v>496</v>
      </c>
      <c r="J100" t="s">
        <v>38</v>
      </c>
      <c r="K100" t="s">
        <v>44</v>
      </c>
      <c r="L100">
        <v>139</v>
      </c>
      <c r="M100" t="s">
        <v>25</v>
      </c>
      <c r="N100" t="s">
        <v>497</v>
      </c>
      <c r="O100" t="s">
        <v>27</v>
      </c>
      <c r="P100" t="s">
        <v>28</v>
      </c>
      <c r="Q100" t="s">
        <v>1125</v>
      </c>
    </row>
    <row r="101" spans="1:17">
      <c r="A101">
        <v>198329</v>
      </c>
      <c r="B101" t="s">
        <v>56</v>
      </c>
      <c r="C101" t="s">
        <v>35</v>
      </c>
      <c r="D101" t="s">
        <v>19</v>
      </c>
      <c r="E101" t="s">
        <v>35</v>
      </c>
      <c r="F101">
        <v>628</v>
      </c>
      <c r="G101" t="s">
        <v>20</v>
      </c>
      <c r="H101" t="s">
        <v>498</v>
      </c>
      <c r="I101" t="s">
        <v>499</v>
      </c>
      <c r="J101" t="s">
        <v>500</v>
      </c>
      <c r="K101" t="s">
        <v>501</v>
      </c>
      <c r="L101">
        <v>109</v>
      </c>
      <c r="M101" t="s">
        <v>25</v>
      </c>
      <c r="N101" t="s">
        <v>502</v>
      </c>
      <c r="O101" t="s">
        <v>27</v>
      </c>
      <c r="P101" t="s">
        <v>28</v>
      </c>
      <c r="Q101" t="s">
        <v>1125</v>
      </c>
    </row>
    <row r="102" spans="1:17">
      <c r="A102">
        <v>110295</v>
      </c>
      <c r="B102" t="s">
        <v>34</v>
      </c>
      <c r="C102" t="s">
        <v>35</v>
      </c>
      <c r="D102" t="s">
        <v>19</v>
      </c>
      <c r="E102" t="s">
        <v>18</v>
      </c>
      <c r="F102">
        <v>1448</v>
      </c>
      <c r="G102" t="s">
        <v>20</v>
      </c>
      <c r="H102" t="s">
        <v>503</v>
      </c>
      <c r="I102" t="s">
        <v>504</v>
      </c>
      <c r="J102" t="s">
        <v>505</v>
      </c>
      <c r="K102" t="s">
        <v>506</v>
      </c>
      <c r="L102">
        <v>129</v>
      </c>
      <c r="M102" t="s">
        <v>25</v>
      </c>
      <c r="N102" t="s">
        <v>507</v>
      </c>
      <c r="O102" t="s">
        <v>27</v>
      </c>
      <c r="P102" t="s">
        <v>28</v>
      </c>
      <c r="Q102" t="s">
        <v>1125</v>
      </c>
    </row>
    <row r="103" spans="1:17">
      <c r="A103">
        <v>196427</v>
      </c>
      <c r="B103" t="s">
        <v>17</v>
      </c>
      <c r="C103" t="s">
        <v>35</v>
      </c>
      <c r="D103" t="s">
        <v>19</v>
      </c>
      <c r="E103" t="s">
        <v>18</v>
      </c>
      <c r="F103">
        <v>1401</v>
      </c>
      <c r="G103" t="s">
        <v>20</v>
      </c>
      <c r="H103" t="s">
        <v>508</v>
      </c>
      <c r="I103" t="s">
        <v>509</v>
      </c>
      <c r="J103" t="s">
        <v>510</v>
      </c>
      <c r="K103" t="s">
        <v>511</v>
      </c>
      <c r="L103">
        <v>169</v>
      </c>
      <c r="M103" t="s">
        <v>25</v>
      </c>
      <c r="N103" t="s">
        <v>512</v>
      </c>
      <c r="O103" t="s">
        <v>27</v>
      </c>
      <c r="P103" t="s">
        <v>28</v>
      </c>
      <c r="Q103" t="s">
        <v>1125</v>
      </c>
    </row>
    <row r="104" spans="1:17">
      <c r="A104">
        <v>110075</v>
      </c>
      <c r="B104" t="s">
        <v>56</v>
      </c>
      <c r="C104" t="s">
        <v>35</v>
      </c>
      <c r="D104" t="s">
        <v>19</v>
      </c>
      <c r="E104" t="s">
        <v>35</v>
      </c>
      <c r="F104">
        <v>2185</v>
      </c>
      <c r="G104" t="s">
        <v>20</v>
      </c>
      <c r="H104" t="s">
        <v>513</v>
      </c>
      <c r="I104" t="s">
        <v>514</v>
      </c>
      <c r="J104" t="s">
        <v>515</v>
      </c>
      <c r="K104" t="s">
        <v>516</v>
      </c>
      <c r="L104">
        <v>159</v>
      </c>
      <c r="M104" t="s">
        <v>25</v>
      </c>
      <c r="N104" t="s">
        <v>517</v>
      </c>
      <c r="O104" t="s">
        <v>27</v>
      </c>
      <c r="P104" t="s">
        <v>28</v>
      </c>
      <c r="Q104" t="s">
        <v>1125</v>
      </c>
    </row>
    <row r="105" spans="1:17">
      <c r="A105">
        <v>132322</v>
      </c>
      <c r="B105" t="s">
        <v>56</v>
      </c>
      <c r="C105" t="s">
        <v>35</v>
      </c>
      <c r="D105" t="s">
        <v>19</v>
      </c>
      <c r="E105" t="s">
        <v>18</v>
      </c>
      <c r="F105">
        <v>2135</v>
      </c>
      <c r="G105" t="s">
        <v>20</v>
      </c>
      <c r="H105" t="s">
        <v>518</v>
      </c>
      <c r="I105" t="s">
        <v>519</v>
      </c>
      <c r="J105" t="s">
        <v>520</v>
      </c>
      <c r="K105" t="s">
        <v>521</v>
      </c>
      <c r="L105">
        <v>12.99</v>
      </c>
      <c r="M105" t="s">
        <v>25</v>
      </c>
      <c r="N105" t="s">
        <v>522</v>
      </c>
      <c r="O105" t="s">
        <v>27</v>
      </c>
      <c r="P105" t="s">
        <v>28</v>
      </c>
      <c r="Q105" t="s">
        <v>1124</v>
      </c>
    </row>
    <row r="106" spans="1:17">
      <c r="A106">
        <v>199631</v>
      </c>
      <c r="B106" t="s">
        <v>56</v>
      </c>
      <c r="C106" t="s">
        <v>35</v>
      </c>
      <c r="D106" t="s">
        <v>19</v>
      </c>
      <c r="E106" t="s">
        <v>18</v>
      </c>
      <c r="F106">
        <v>1269</v>
      </c>
      <c r="G106" t="s">
        <v>20</v>
      </c>
      <c r="H106" t="s">
        <v>523</v>
      </c>
      <c r="I106" t="s">
        <v>524</v>
      </c>
      <c r="J106" t="s">
        <v>525</v>
      </c>
      <c r="K106" t="s">
        <v>526</v>
      </c>
      <c r="L106">
        <v>89.9</v>
      </c>
      <c r="M106" t="s">
        <v>25</v>
      </c>
      <c r="N106" t="s">
        <v>527</v>
      </c>
      <c r="O106" t="s">
        <v>27</v>
      </c>
      <c r="P106" t="s">
        <v>28</v>
      </c>
      <c r="Q106" t="s">
        <v>1125</v>
      </c>
    </row>
    <row r="107" spans="1:17">
      <c r="A107">
        <v>182306</v>
      </c>
      <c r="B107" t="s">
        <v>56</v>
      </c>
      <c r="C107" t="s">
        <v>18</v>
      </c>
      <c r="D107" t="s">
        <v>19</v>
      </c>
      <c r="E107" t="s">
        <v>18</v>
      </c>
      <c r="F107">
        <v>2805</v>
      </c>
      <c r="G107" t="s">
        <v>20</v>
      </c>
      <c r="H107" t="s">
        <v>528</v>
      </c>
      <c r="I107" t="s">
        <v>529</v>
      </c>
      <c r="J107" t="s">
        <v>530</v>
      </c>
      <c r="K107" t="s">
        <v>531</v>
      </c>
      <c r="L107">
        <v>89.9</v>
      </c>
      <c r="M107" t="s">
        <v>25</v>
      </c>
      <c r="N107" t="s">
        <v>532</v>
      </c>
      <c r="O107" t="s">
        <v>27</v>
      </c>
      <c r="P107" t="s">
        <v>28</v>
      </c>
      <c r="Q107" t="s">
        <v>1125</v>
      </c>
    </row>
    <row r="108" spans="1:17">
      <c r="A108">
        <v>194915</v>
      </c>
      <c r="B108" t="s">
        <v>17</v>
      </c>
      <c r="C108" t="s">
        <v>35</v>
      </c>
      <c r="D108" t="s">
        <v>19</v>
      </c>
      <c r="E108" t="s">
        <v>18</v>
      </c>
      <c r="F108">
        <v>1796</v>
      </c>
      <c r="G108" t="s">
        <v>20</v>
      </c>
      <c r="H108" t="s">
        <v>533</v>
      </c>
      <c r="I108" t="s">
        <v>534</v>
      </c>
      <c r="J108" t="s">
        <v>535</v>
      </c>
      <c r="K108" t="s">
        <v>536</v>
      </c>
      <c r="L108">
        <v>79.900000000000006</v>
      </c>
      <c r="M108" t="s">
        <v>25</v>
      </c>
      <c r="N108" t="s">
        <v>537</v>
      </c>
      <c r="O108" t="s">
        <v>27</v>
      </c>
      <c r="P108" t="s">
        <v>28</v>
      </c>
      <c r="Q108" t="s">
        <v>1125</v>
      </c>
    </row>
    <row r="109" spans="1:17">
      <c r="A109">
        <v>131298</v>
      </c>
      <c r="B109" t="s">
        <v>34</v>
      </c>
      <c r="C109" t="s">
        <v>35</v>
      </c>
      <c r="D109" t="s">
        <v>19</v>
      </c>
      <c r="E109" t="s">
        <v>18</v>
      </c>
      <c r="F109">
        <v>2133</v>
      </c>
      <c r="G109" t="s">
        <v>20</v>
      </c>
      <c r="H109" t="s">
        <v>538</v>
      </c>
      <c r="I109" t="s">
        <v>539</v>
      </c>
      <c r="J109" t="s">
        <v>540</v>
      </c>
      <c r="K109" t="s">
        <v>541</v>
      </c>
      <c r="L109">
        <v>69.900000000000006</v>
      </c>
      <c r="M109" t="s">
        <v>25</v>
      </c>
      <c r="N109" t="s">
        <v>542</v>
      </c>
      <c r="O109" t="s">
        <v>27</v>
      </c>
      <c r="P109" t="s">
        <v>28</v>
      </c>
      <c r="Q109" t="s">
        <v>1125</v>
      </c>
    </row>
    <row r="110" spans="1:17">
      <c r="A110">
        <v>168571</v>
      </c>
      <c r="B110" t="s">
        <v>17</v>
      </c>
      <c r="C110" t="s">
        <v>18</v>
      </c>
      <c r="D110" t="s">
        <v>19</v>
      </c>
      <c r="E110" t="s">
        <v>18</v>
      </c>
      <c r="F110">
        <v>1778</v>
      </c>
      <c r="G110" t="s">
        <v>20</v>
      </c>
      <c r="H110" t="s">
        <v>543</v>
      </c>
      <c r="I110" t="s">
        <v>544</v>
      </c>
      <c r="J110" t="s">
        <v>423</v>
      </c>
      <c r="K110" t="s">
        <v>545</v>
      </c>
      <c r="L110">
        <v>89.9</v>
      </c>
      <c r="M110" t="s">
        <v>25</v>
      </c>
      <c r="N110" t="s">
        <v>546</v>
      </c>
      <c r="O110" t="s">
        <v>27</v>
      </c>
      <c r="P110" t="s">
        <v>28</v>
      </c>
      <c r="Q110" t="s">
        <v>1125</v>
      </c>
    </row>
    <row r="111" spans="1:17">
      <c r="A111">
        <v>154224</v>
      </c>
      <c r="B111" t="s">
        <v>34</v>
      </c>
      <c r="C111" t="s">
        <v>35</v>
      </c>
      <c r="D111" t="s">
        <v>19</v>
      </c>
      <c r="E111" t="s">
        <v>18</v>
      </c>
      <c r="F111">
        <v>2474</v>
      </c>
      <c r="G111" t="s">
        <v>20</v>
      </c>
      <c r="H111" t="s">
        <v>547</v>
      </c>
      <c r="I111" t="s">
        <v>548</v>
      </c>
      <c r="J111" t="s">
        <v>549</v>
      </c>
      <c r="K111" t="s">
        <v>550</v>
      </c>
      <c r="L111">
        <v>89.9</v>
      </c>
      <c r="M111" t="s">
        <v>25</v>
      </c>
      <c r="N111" t="s">
        <v>551</v>
      </c>
      <c r="O111" t="s">
        <v>27</v>
      </c>
      <c r="P111" t="s">
        <v>28</v>
      </c>
      <c r="Q111" t="s">
        <v>1125</v>
      </c>
    </row>
    <row r="112" spans="1:17">
      <c r="A112">
        <v>171061</v>
      </c>
      <c r="B112" t="s">
        <v>17</v>
      </c>
      <c r="C112" t="s">
        <v>18</v>
      </c>
      <c r="D112" t="s">
        <v>19</v>
      </c>
      <c r="E112" t="s">
        <v>35</v>
      </c>
      <c r="F112">
        <v>2032</v>
      </c>
      <c r="G112" t="s">
        <v>20</v>
      </c>
      <c r="H112" t="s">
        <v>552</v>
      </c>
      <c r="I112" t="s">
        <v>553</v>
      </c>
      <c r="J112" t="s">
        <v>540</v>
      </c>
      <c r="K112" t="s">
        <v>554</v>
      </c>
      <c r="L112">
        <v>59.9</v>
      </c>
      <c r="M112" t="s">
        <v>25</v>
      </c>
      <c r="N112" t="s">
        <v>555</v>
      </c>
      <c r="O112" t="s">
        <v>27</v>
      </c>
      <c r="P112" t="s">
        <v>28</v>
      </c>
      <c r="Q112" t="s">
        <v>1125</v>
      </c>
    </row>
    <row r="113" spans="1:17">
      <c r="A113">
        <v>119049</v>
      </c>
      <c r="B113" t="s">
        <v>17</v>
      </c>
      <c r="C113" t="s">
        <v>18</v>
      </c>
      <c r="D113" t="s">
        <v>19</v>
      </c>
      <c r="E113" t="s">
        <v>35</v>
      </c>
      <c r="F113">
        <v>1659</v>
      </c>
      <c r="G113" t="s">
        <v>20</v>
      </c>
      <c r="H113" t="s">
        <v>556</v>
      </c>
      <c r="I113" t="s">
        <v>557</v>
      </c>
      <c r="J113" t="s">
        <v>558</v>
      </c>
      <c r="K113" t="s">
        <v>559</v>
      </c>
      <c r="L113">
        <v>89.9</v>
      </c>
      <c r="M113" t="s">
        <v>25</v>
      </c>
      <c r="N113" t="s">
        <v>560</v>
      </c>
      <c r="O113" t="s">
        <v>27</v>
      </c>
      <c r="P113" t="s">
        <v>28</v>
      </c>
      <c r="Q113" t="s">
        <v>1125</v>
      </c>
    </row>
    <row r="114" spans="1:17">
      <c r="A114">
        <v>158781</v>
      </c>
      <c r="B114" t="s">
        <v>34</v>
      </c>
      <c r="C114" t="s">
        <v>35</v>
      </c>
      <c r="D114" t="s">
        <v>19</v>
      </c>
      <c r="E114" t="s">
        <v>35</v>
      </c>
      <c r="F114">
        <v>2443</v>
      </c>
      <c r="G114" t="s">
        <v>20</v>
      </c>
      <c r="H114" t="s">
        <v>561</v>
      </c>
      <c r="I114" t="s">
        <v>562</v>
      </c>
      <c r="J114" t="s">
        <v>563</v>
      </c>
      <c r="K114" t="s">
        <v>564</v>
      </c>
      <c r="L114">
        <v>69.900000000000006</v>
      </c>
      <c r="M114" t="s">
        <v>25</v>
      </c>
      <c r="N114" t="s">
        <v>565</v>
      </c>
      <c r="O114" t="s">
        <v>27</v>
      </c>
      <c r="P114" t="s">
        <v>28</v>
      </c>
      <c r="Q114" t="s">
        <v>1125</v>
      </c>
    </row>
    <row r="115" spans="1:17">
      <c r="A115">
        <v>151438</v>
      </c>
      <c r="B115" t="s">
        <v>17</v>
      </c>
      <c r="C115" t="s">
        <v>18</v>
      </c>
      <c r="D115" t="s">
        <v>19</v>
      </c>
      <c r="E115" t="s">
        <v>35</v>
      </c>
      <c r="F115">
        <v>1137</v>
      </c>
      <c r="G115" t="s">
        <v>20</v>
      </c>
      <c r="H115" t="s">
        <v>566</v>
      </c>
      <c r="I115" t="s">
        <v>567</v>
      </c>
      <c r="J115" t="s">
        <v>540</v>
      </c>
      <c r="K115" t="s">
        <v>568</v>
      </c>
      <c r="L115">
        <v>69.900000000000006</v>
      </c>
      <c r="M115" t="s">
        <v>25</v>
      </c>
      <c r="N115" t="s">
        <v>569</v>
      </c>
      <c r="O115" t="s">
        <v>27</v>
      </c>
      <c r="P115" t="s">
        <v>28</v>
      </c>
      <c r="Q115" t="s">
        <v>1125</v>
      </c>
    </row>
    <row r="116" spans="1:17">
      <c r="A116">
        <v>152871</v>
      </c>
      <c r="B116" t="s">
        <v>34</v>
      </c>
      <c r="C116" t="s">
        <v>18</v>
      </c>
      <c r="D116" t="s">
        <v>19</v>
      </c>
      <c r="E116" t="s">
        <v>35</v>
      </c>
      <c r="F116">
        <v>1847</v>
      </c>
      <c r="G116" t="s">
        <v>20</v>
      </c>
      <c r="H116" t="s">
        <v>570</v>
      </c>
      <c r="I116" t="s">
        <v>571</v>
      </c>
      <c r="J116" t="s">
        <v>572</v>
      </c>
      <c r="K116" t="s">
        <v>573</v>
      </c>
      <c r="L116">
        <v>69.900000000000006</v>
      </c>
      <c r="M116" t="s">
        <v>25</v>
      </c>
      <c r="N116" t="s">
        <v>574</v>
      </c>
      <c r="O116" t="s">
        <v>27</v>
      </c>
      <c r="P116" t="s">
        <v>28</v>
      </c>
      <c r="Q116" t="s">
        <v>1125</v>
      </c>
    </row>
    <row r="117" spans="1:17">
      <c r="A117">
        <v>126806</v>
      </c>
      <c r="B117" t="s">
        <v>34</v>
      </c>
      <c r="C117" t="s">
        <v>35</v>
      </c>
      <c r="D117" t="s">
        <v>19</v>
      </c>
      <c r="E117" t="s">
        <v>35</v>
      </c>
      <c r="F117">
        <v>2404</v>
      </c>
      <c r="G117" t="s">
        <v>20</v>
      </c>
      <c r="H117" t="s">
        <v>575</v>
      </c>
      <c r="I117" t="s">
        <v>576</v>
      </c>
      <c r="J117" t="s">
        <v>423</v>
      </c>
      <c r="K117" t="s">
        <v>577</v>
      </c>
      <c r="L117">
        <v>109</v>
      </c>
      <c r="M117" t="s">
        <v>25</v>
      </c>
      <c r="N117" t="s">
        <v>578</v>
      </c>
      <c r="O117" t="s">
        <v>27</v>
      </c>
      <c r="P117" t="s">
        <v>28</v>
      </c>
      <c r="Q117" t="s">
        <v>1125</v>
      </c>
    </row>
    <row r="118" spans="1:17">
      <c r="A118">
        <v>134104</v>
      </c>
      <c r="B118" t="s">
        <v>34</v>
      </c>
      <c r="C118" t="s">
        <v>18</v>
      </c>
      <c r="D118" t="s">
        <v>19</v>
      </c>
      <c r="E118" t="s">
        <v>35</v>
      </c>
      <c r="F118">
        <v>1466</v>
      </c>
      <c r="G118" t="s">
        <v>20</v>
      </c>
      <c r="H118" t="s">
        <v>579</v>
      </c>
      <c r="I118" t="s">
        <v>580</v>
      </c>
      <c r="J118" t="s">
        <v>581</v>
      </c>
      <c r="K118" t="s">
        <v>582</v>
      </c>
      <c r="L118">
        <v>59.9</v>
      </c>
      <c r="M118" t="s">
        <v>25</v>
      </c>
      <c r="N118" t="s">
        <v>583</v>
      </c>
      <c r="O118" t="s">
        <v>27</v>
      </c>
      <c r="P118" t="s">
        <v>28</v>
      </c>
      <c r="Q118" t="s">
        <v>1125</v>
      </c>
    </row>
    <row r="119" spans="1:17">
      <c r="A119">
        <v>120266</v>
      </c>
      <c r="B119" t="s">
        <v>56</v>
      </c>
      <c r="C119" t="s">
        <v>18</v>
      </c>
      <c r="D119" t="s">
        <v>19</v>
      </c>
      <c r="E119" t="s">
        <v>18</v>
      </c>
      <c r="F119">
        <v>2328</v>
      </c>
      <c r="G119" t="s">
        <v>20</v>
      </c>
      <c r="H119" t="s">
        <v>584</v>
      </c>
      <c r="I119" t="s">
        <v>585</v>
      </c>
      <c r="J119" t="s">
        <v>540</v>
      </c>
      <c r="K119" t="s">
        <v>586</v>
      </c>
      <c r="L119">
        <v>59.9</v>
      </c>
      <c r="M119" t="s">
        <v>25</v>
      </c>
      <c r="N119" t="s">
        <v>587</v>
      </c>
      <c r="O119" t="s">
        <v>27</v>
      </c>
      <c r="P119" t="s">
        <v>28</v>
      </c>
      <c r="Q119" t="s">
        <v>1125</v>
      </c>
    </row>
    <row r="120" spans="1:17">
      <c r="A120">
        <v>173550</v>
      </c>
      <c r="B120" t="s">
        <v>34</v>
      </c>
      <c r="C120" t="s">
        <v>18</v>
      </c>
      <c r="D120" t="s">
        <v>19</v>
      </c>
      <c r="E120" t="s">
        <v>35</v>
      </c>
      <c r="F120">
        <v>1431</v>
      </c>
      <c r="G120" t="s">
        <v>20</v>
      </c>
      <c r="H120" t="s">
        <v>588</v>
      </c>
      <c r="I120" t="s">
        <v>589</v>
      </c>
      <c r="J120" t="s">
        <v>423</v>
      </c>
      <c r="K120" t="s">
        <v>590</v>
      </c>
      <c r="L120">
        <v>59.9</v>
      </c>
      <c r="M120" t="s">
        <v>25</v>
      </c>
      <c r="N120" t="s">
        <v>591</v>
      </c>
      <c r="O120" t="s">
        <v>27</v>
      </c>
      <c r="P120" t="s">
        <v>28</v>
      </c>
      <c r="Q120" t="s">
        <v>1125</v>
      </c>
    </row>
    <row r="121" spans="1:17">
      <c r="A121">
        <v>175927</v>
      </c>
      <c r="B121" t="s">
        <v>34</v>
      </c>
      <c r="C121" t="s">
        <v>18</v>
      </c>
      <c r="D121" t="s">
        <v>19</v>
      </c>
      <c r="E121" t="s">
        <v>35</v>
      </c>
      <c r="F121">
        <v>1506</v>
      </c>
      <c r="G121" t="s">
        <v>20</v>
      </c>
      <c r="H121" t="s">
        <v>592</v>
      </c>
      <c r="I121" t="s">
        <v>593</v>
      </c>
      <c r="J121" t="s">
        <v>594</v>
      </c>
      <c r="K121" t="s">
        <v>595</v>
      </c>
      <c r="L121">
        <v>109</v>
      </c>
      <c r="M121" t="s">
        <v>25</v>
      </c>
      <c r="N121" t="s">
        <v>596</v>
      </c>
      <c r="O121" t="s">
        <v>27</v>
      </c>
      <c r="P121" t="s">
        <v>28</v>
      </c>
      <c r="Q121" t="s">
        <v>1125</v>
      </c>
    </row>
    <row r="122" spans="1:17">
      <c r="A122">
        <v>154278</v>
      </c>
      <c r="B122" t="s">
        <v>34</v>
      </c>
      <c r="C122" t="s">
        <v>18</v>
      </c>
      <c r="D122" t="s">
        <v>19</v>
      </c>
      <c r="E122" t="s">
        <v>35</v>
      </c>
      <c r="F122">
        <v>2749</v>
      </c>
      <c r="G122" t="s">
        <v>20</v>
      </c>
      <c r="H122" t="s">
        <v>597</v>
      </c>
      <c r="I122" t="s">
        <v>598</v>
      </c>
      <c r="J122" t="s">
        <v>599</v>
      </c>
      <c r="K122" t="s">
        <v>600</v>
      </c>
      <c r="L122">
        <v>89.9</v>
      </c>
      <c r="M122" t="s">
        <v>25</v>
      </c>
      <c r="N122" t="s">
        <v>601</v>
      </c>
      <c r="O122" t="s">
        <v>27</v>
      </c>
      <c r="P122" t="s">
        <v>28</v>
      </c>
      <c r="Q122" t="s">
        <v>1125</v>
      </c>
    </row>
    <row r="123" spans="1:17">
      <c r="A123">
        <v>183537</v>
      </c>
      <c r="B123" t="s">
        <v>56</v>
      </c>
      <c r="C123" t="s">
        <v>35</v>
      </c>
      <c r="D123" t="s">
        <v>19</v>
      </c>
      <c r="E123" t="s">
        <v>35</v>
      </c>
      <c r="F123">
        <v>2434</v>
      </c>
      <c r="G123" t="s">
        <v>20</v>
      </c>
      <c r="H123" t="s">
        <v>602</v>
      </c>
      <c r="I123" t="s">
        <v>603</v>
      </c>
      <c r="J123" t="s">
        <v>604</v>
      </c>
      <c r="K123" t="s">
        <v>605</v>
      </c>
      <c r="L123">
        <v>19.989999999999998</v>
      </c>
      <c r="M123" t="s">
        <v>25</v>
      </c>
      <c r="N123" t="s">
        <v>606</v>
      </c>
      <c r="O123" t="s">
        <v>27</v>
      </c>
      <c r="P123" t="s">
        <v>28</v>
      </c>
      <c r="Q123" t="s">
        <v>1124</v>
      </c>
    </row>
    <row r="124" spans="1:17">
      <c r="A124">
        <v>150424</v>
      </c>
      <c r="B124" t="s">
        <v>56</v>
      </c>
      <c r="C124" t="s">
        <v>18</v>
      </c>
      <c r="D124" t="s">
        <v>19</v>
      </c>
      <c r="E124" t="s">
        <v>35</v>
      </c>
      <c r="F124">
        <v>2067</v>
      </c>
      <c r="G124" t="s">
        <v>20</v>
      </c>
      <c r="H124" t="s">
        <v>607</v>
      </c>
      <c r="I124" t="s">
        <v>608</v>
      </c>
      <c r="J124" t="s">
        <v>609</v>
      </c>
      <c r="K124" t="s">
        <v>610</v>
      </c>
      <c r="L124">
        <v>79.900000000000006</v>
      </c>
      <c r="M124" t="s">
        <v>25</v>
      </c>
      <c r="N124" t="s">
        <v>611</v>
      </c>
      <c r="O124" t="s">
        <v>27</v>
      </c>
      <c r="P124" t="s">
        <v>28</v>
      </c>
      <c r="Q124" t="s">
        <v>1125</v>
      </c>
    </row>
    <row r="125" spans="1:17">
      <c r="A125">
        <v>183825</v>
      </c>
      <c r="B125" t="s">
        <v>17</v>
      </c>
      <c r="C125" t="s">
        <v>35</v>
      </c>
      <c r="D125" t="s">
        <v>19</v>
      </c>
      <c r="E125" t="s">
        <v>35</v>
      </c>
      <c r="F125">
        <v>2989</v>
      </c>
      <c r="G125" t="s">
        <v>20</v>
      </c>
      <c r="H125" t="s">
        <v>612</v>
      </c>
      <c r="I125" t="s">
        <v>613</v>
      </c>
      <c r="J125" t="s">
        <v>614</v>
      </c>
      <c r="K125" t="s">
        <v>615</v>
      </c>
      <c r="L125">
        <v>19.989999999999998</v>
      </c>
      <c r="M125" t="s">
        <v>25</v>
      </c>
      <c r="N125" t="s">
        <v>616</v>
      </c>
      <c r="O125" t="s">
        <v>27</v>
      </c>
      <c r="P125" t="s">
        <v>28</v>
      </c>
      <c r="Q125" t="s">
        <v>1124</v>
      </c>
    </row>
    <row r="126" spans="1:17">
      <c r="A126">
        <v>144012</v>
      </c>
      <c r="B126" t="s">
        <v>56</v>
      </c>
      <c r="C126" t="s">
        <v>35</v>
      </c>
      <c r="D126" t="s">
        <v>19</v>
      </c>
      <c r="E126" t="s">
        <v>18</v>
      </c>
      <c r="F126">
        <v>743</v>
      </c>
      <c r="G126" t="s">
        <v>20</v>
      </c>
      <c r="H126" t="s">
        <v>617</v>
      </c>
      <c r="I126" t="s">
        <v>618</v>
      </c>
      <c r="J126" t="s">
        <v>619</v>
      </c>
      <c r="K126" t="s">
        <v>620</v>
      </c>
      <c r="L126">
        <v>59.9</v>
      </c>
      <c r="M126" t="s">
        <v>25</v>
      </c>
      <c r="N126" t="s">
        <v>621</v>
      </c>
      <c r="O126" t="s">
        <v>27</v>
      </c>
      <c r="P126" t="s">
        <v>28</v>
      </c>
      <c r="Q126" t="s">
        <v>1125</v>
      </c>
    </row>
    <row r="127" spans="1:17">
      <c r="A127">
        <v>147051</v>
      </c>
      <c r="B127" t="s">
        <v>56</v>
      </c>
      <c r="C127" t="s">
        <v>18</v>
      </c>
      <c r="D127" t="s">
        <v>19</v>
      </c>
      <c r="E127" t="s">
        <v>18</v>
      </c>
      <c r="F127">
        <v>2325</v>
      </c>
      <c r="G127" t="s">
        <v>20</v>
      </c>
      <c r="H127" t="s">
        <v>622</v>
      </c>
      <c r="I127" t="s">
        <v>623</v>
      </c>
      <c r="J127" t="s">
        <v>624</v>
      </c>
      <c r="K127" t="s">
        <v>625</v>
      </c>
      <c r="L127">
        <v>109</v>
      </c>
      <c r="M127" t="s">
        <v>25</v>
      </c>
      <c r="N127" t="s">
        <v>626</v>
      </c>
      <c r="O127" t="s">
        <v>27</v>
      </c>
      <c r="P127" t="s">
        <v>28</v>
      </c>
      <c r="Q127" t="s">
        <v>1125</v>
      </c>
    </row>
    <row r="128" spans="1:17">
      <c r="A128">
        <v>185800</v>
      </c>
      <c r="B128" t="s">
        <v>34</v>
      </c>
      <c r="C128" t="s">
        <v>18</v>
      </c>
      <c r="D128" t="s">
        <v>19</v>
      </c>
      <c r="E128" t="s">
        <v>35</v>
      </c>
      <c r="F128">
        <v>1841</v>
      </c>
      <c r="G128" t="s">
        <v>20</v>
      </c>
      <c r="H128" t="s">
        <v>627</v>
      </c>
      <c r="I128" t="s">
        <v>628</v>
      </c>
      <c r="J128" t="s">
        <v>629</v>
      </c>
      <c r="K128" t="s">
        <v>630</v>
      </c>
      <c r="L128">
        <v>109</v>
      </c>
      <c r="M128" t="s">
        <v>25</v>
      </c>
      <c r="N128" t="s">
        <v>631</v>
      </c>
      <c r="O128" t="s">
        <v>27</v>
      </c>
      <c r="P128" t="s">
        <v>28</v>
      </c>
      <c r="Q128" t="s">
        <v>1125</v>
      </c>
    </row>
    <row r="129" spans="1:17">
      <c r="A129">
        <v>197524</v>
      </c>
      <c r="B129" t="s">
        <v>17</v>
      </c>
      <c r="C129" t="s">
        <v>35</v>
      </c>
      <c r="D129" t="s">
        <v>19</v>
      </c>
      <c r="E129" t="s">
        <v>35</v>
      </c>
      <c r="F129">
        <v>2231</v>
      </c>
      <c r="G129" t="s">
        <v>20</v>
      </c>
      <c r="H129" t="s">
        <v>632</v>
      </c>
      <c r="I129" t="s">
        <v>633</v>
      </c>
      <c r="J129" t="s">
        <v>540</v>
      </c>
      <c r="K129" t="s">
        <v>634</v>
      </c>
      <c r="L129">
        <v>49.9</v>
      </c>
      <c r="M129" t="s">
        <v>25</v>
      </c>
      <c r="N129" t="s">
        <v>635</v>
      </c>
      <c r="O129" t="s">
        <v>27</v>
      </c>
      <c r="P129" t="s">
        <v>28</v>
      </c>
      <c r="Q129" t="s">
        <v>1126</v>
      </c>
    </row>
    <row r="130" spans="1:17">
      <c r="A130">
        <v>148823</v>
      </c>
      <c r="B130" t="s">
        <v>17</v>
      </c>
      <c r="C130" t="s">
        <v>18</v>
      </c>
      <c r="D130" t="s">
        <v>19</v>
      </c>
      <c r="E130" t="s">
        <v>35</v>
      </c>
      <c r="F130">
        <v>2211</v>
      </c>
      <c r="G130" t="s">
        <v>20</v>
      </c>
      <c r="H130" t="s">
        <v>636</v>
      </c>
      <c r="I130" t="s">
        <v>637</v>
      </c>
      <c r="J130" t="s">
        <v>638</v>
      </c>
      <c r="K130" t="s">
        <v>639</v>
      </c>
      <c r="L130">
        <v>89.9</v>
      </c>
      <c r="M130" t="s">
        <v>25</v>
      </c>
      <c r="N130" t="s">
        <v>640</v>
      </c>
      <c r="O130" t="s">
        <v>641</v>
      </c>
      <c r="P130" t="s">
        <v>28</v>
      </c>
      <c r="Q130" t="s">
        <v>1125</v>
      </c>
    </row>
    <row r="131" spans="1:17">
      <c r="A131">
        <v>114550</v>
      </c>
      <c r="B131" t="s">
        <v>34</v>
      </c>
      <c r="C131" t="s">
        <v>18</v>
      </c>
      <c r="D131" t="s">
        <v>19</v>
      </c>
      <c r="E131" t="s">
        <v>18</v>
      </c>
      <c r="F131">
        <v>2114</v>
      </c>
      <c r="G131" t="s">
        <v>20</v>
      </c>
      <c r="H131" t="s">
        <v>642</v>
      </c>
      <c r="I131" t="s">
        <v>643</v>
      </c>
      <c r="J131" t="s">
        <v>644</v>
      </c>
      <c r="K131" t="s">
        <v>645</v>
      </c>
      <c r="L131">
        <v>69.900000000000006</v>
      </c>
      <c r="M131" t="s">
        <v>25</v>
      </c>
      <c r="N131" t="s">
        <v>646</v>
      </c>
      <c r="O131" t="s">
        <v>641</v>
      </c>
      <c r="P131" t="s">
        <v>28</v>
      </c>
      <c r="Q131" t="s">
        <v>1125</v>
      </c>
    </row>
    <row r="132" spans="1:17">
      <c r="A132">
        <v>125398</v>
      </c>
      <c r="B132" t="s">
        <v>17</v>
      </c>
      <c r="C132" t="s">
        <v>35</v>
      </c>
      <c r="D132" t="s">
        <v>19</v>
      </c>
      <c r="E132" t="s">
        <v>35</v>
      </c>
      <c r="F132">
        <v>1350</v>
      </c>
      <c r="G132" t="s">
        <v>20</v>
      </c>
      <c r="H132" t="s">
        <v>647</v>
      </c>
      <c r="I132" t="s">
        <v>648</v>
      </c>
      <c r="J132" t="s">
        <v>649</v>
      </c>
      <c r="K132" t="s">
        <v>650</v>
      </c>
      <c r="L132">
        <v>69.900000000000006</v>
      </c>
      <c r="M132" t="s">
        <v>25</v>
      </c>
      <c r="N132" t="s">
        <v>651</v>
      </c>
      <c r="O132" t="s">
        <v>641</v>
      </c>
      <c r="P132" t="s">
        <v>28</v>
      </c>
      <c r="Q132" t="s">
        <v>1125</v>
      </c>
    </row>
    <row r="133" spans="1:17">
      <c r="A133">
        <v>123985</v>
      </c>
      <c r="B133" t="s">
        <v>34</v>
      </c>
      <c r="C133" t="s">
        <v>18</v>
      </c>
      <c r="D133" t="s">
        <v>19</v>
      </c>
      <c r="E133" t="s">
        <v>18</v>
      </c>
      <c r="F133">
        <v>2240</v>
      </c>
      <c r="G133" t="s">
        <v>20</v>
      </c>
      <c r="H133" t="s">
        <v>652</v>
      </c>
      <c r="I133" t="s">
        <v>653</v>
      </c>
      <c r="J133" t="s">
        <v>654</v>
      </c>
      <c r="K133" t="s">
        <v>655</v>
      </c>
      <c r="L133">
        <v>69.900000000000006</v>
      </c>
      <c r="M133" t="s">
        <v>25</v>
      </c>
      <c r="N133" t="s">
        <v>656</v>
      </c>
      <c r="O133" t="s">
        <v>641</v>
      </c>
      <c r="P133" t="s">
        <v>28</v>
      </c>
      <c r="Q133" t="s">
        <v>1125</v>
      </c>
    </row>
    <row r="134" spans="1:17">
      <c r="A134">
        <v>186638</v>
      </c>
      <c r="B134" t="s">
        <v>34</v>
      </c>
      <c r="C134" t="s">
        <v>35</v>
      </c>
      <c r="D134" t="s">
        <v>19</v>
      </c>
      <c r="E134" t="s">
        <v>18</v>
      </c>
      <c r="F134">
        <v>1296</v>
      </c>
      <c r="G134" t="s">
        <v>20</v>
      </c>
      <c r="H134" t="s">
        <v>657</v>
      </c>
      <c r="I134" t="s">
        <v>658</v>
      </c>
      <c r="J134" t="s">
        <v>659</v>
      </c>
      <c r="K134" t="s">
        <v>660</v>
      </c>
      <c r="L134">
        <v>59.9</v>
      </c>
      <c r="M134" t="s">
        <v>25</v>
      </c>
      <c r="N134" t="s">
        <v>661</v>
      </c>
      <c r="O134" t="s">
        <v>641</v>
      </c>
      <c r="P134" t="s">
        <v>28</v>
      </c>
      <c r="Q134" t="s">
        <v>1125</v>
      </c>
    </row>
    <row r="135" spans="1:17">
      <c r="A135">
        <v>167281</v>
      </c>
      <c r="B135" t="s">
        <v>34</v>
      </c>
      <c r="C135" t="s">
        <v>35</v>
      </c>
      <c r="D135" t="s">
        <v>19</v>
      </c>
      <c r="E135" t="s">
        <v>35</v>
      </c>
      <c r="F135">
        <v>892</v>
      </c>
      <c r="G135" t="s">
        <v>20</v>
      </c>
      <c r="H135" t="s">
        <v>662</v>
      </c>
      <c r="I135" t="s">
        <v>663</v>
      </c>
      <c r="J135" t="s">
        <v>664</v>
      </c>
      <c r="K135" t="s">
        <v>665</v>
      </c>
      <c r="L135">
        <v>59.9</v>
      </c>
      <c r="M135" t="s">
        <v>25</v>
      </c>
      <c r="N135" t="s">
        <v>666</v>
      </c>
      <c r="O135" t="s">
        <v>641</v>
      </c>
      <c r="P135" t="s">
        <v>28</v>
      </c>
      <c r="Q135" t="s">
        <v>1125</v>
      </c>
    </row>
    <row r="136" spans="1:17">
      <c r="A136">
        <v>118578</v>
      </c>
      <c r="B136" t="s">
        <v>34</v>
      </c>
      <c r="C136" t="s">
        <v>18</v>
      </c>
      <c r="D136" t="s">
        <v>19</v>
      </c>
      <c r="E136" t="s">
        <v>35</v>
      </c>
      <c r="F136">
        <v>1678</v>
      </c>
      <c r="G136" t="s">
        <v>20</v>
      </c>
      <c r="H136" t="s">
        <v>667</v>
      </c>
      <c r="I136" t="s">
        <v>668</v>
      </c>
      <c r="J136" t="s">
        <v>669</v>
      </c>
      <c r="K136" t="s">
        <v>670</v>
      </c>
      <c r="L136">
        <v>49.9</v>
      </c>
      <c r="M136" t="s">
        <v>25</v>
      </c>
      <c r="N136" t="s">
        <v>671</v>
      </c>
      <c r="O136" t="s">
        <v>641</v>
      </c>
      <c r="P136" t="s">
        <v>28</v>
      </c>
      <c r="Q136" t="s">
        <v>1126</v>
      </c>
    </row>
    <row r="137" spans="1:17">
      <c r="A137">
        <v>174041</v>
      </c>
      <c r="B137" t="s">
        <v>34</v>
      </c>
      <c r="C137" t="s">
        <v>18</v>
      </c>
      <c r="D137" t="s">
        <v>19</v>
      </c>
      <c r="E137" t="s">
        <v>18</v>
      </c>
      <c r="F137">
        <v>2016</v>
      </c>
      <c r="G137" t="s">
        <v>20</v>
      </c>
      <c r="H137" t="s">
        <v>672</v>
      </c>
      <c r="I137" t="s">
        <v>673</v>
      </c>
      <c r="J137" t="s">
        <v>674</v>
      </c>
      <c r="K137" t="s">
        <v>675</v>
      </c>
      <c r="L137">
        <v>49.9</v>
      </c>
      <c r="M137" t="s">
        <v>25</v>
      </c>
      <c r="N137" t="s">
        <v>676</v>
      </c>
      <c r="O137" t="s">
        <v>641</v>
      </c>
      <c r="P137" t="s">
        <v>28</v>
      </c>
      <c r="Q137" t="s">
        <v>1126</v>
      </c>
    </row>
    <row r="138" spans="1:17">
      <c r="A138">
        <v>127644</v>
      </c>
      <c r="B138" t="s">
        <v>56</v>
      </c>
      <c r="C138" t="s">
        <v>18</v>
      </c>
      <c r="D138" t="s">
        <v>19</v>
      </c>
      <c r="E138" t="s">
        <v>35</v>
      </c>
      <c r="F138">
        <v>1498</v>
      </c>
      <c r="G138" t="s">
        <v>20</v>
      </c>
      <c r="H138" t="s">
        <v>677</v>
      </c>
      <c r="I138" t="s">
        <v>678</v>
      </c>
      <c r="J138" t="s">
        <v>679</v>
      </c>
      <c r="K138" t="s">
        <v>680</v>
      </c>
      <c r="L138">
        <v>45.9</v>
      </c>
      <c r="M138" t="s">
        <v>25</v>
      </c>
      <c r="N138" t="s">
        <v>681</v>
      </c>
      <c r="O138" t="s">
        <v>641</v>
      </c>
      <c r="P138" t="s">
        <v>28</v>
      </c>
      <c r="Q138" t="s">
        <v>1126</v>
      </c>
    </row>
    <row r="139" spans="1:17">
      <c r="A139">
        <v>132007</v>
      </c>
      <c r="B139" t="s">
        <v>17</v>
      </c>
      <c r="C139" t="s">
        <v>18</v>
      </c>
      <c r="D139" t="s">
        <v>19</v>
      </c>
      <c r="E139" t="s">
        <v>35</v>
      </c>
      <c r="F139">
        <v>2491</v>
      </c>
      <c r="G139" t="s">
        <v>20</v>
      </c>
      <c r="H139" t="s">
        <v>682</v>
      </c>
      <c r="I139" t="s">
        <v>683</v>
      </c>
      <c r="J139" t="s">
        <v>684</v>
      </c>
      <c r="K139" t="s">
        <v>685</v>
      </c>
      <c r="L139">
        <v>9.99</v>
      </c>
      <c r="M139" t="s">
        <v>25</v>
      </c>
      <c r="N139" t="s">
        <v>686</v>
      </c>
      <c r="O139" t="s">
        <v>641</v>
      </c>
      <c r="P139" t="s">
        <v>28</v>
      </c>
      <c r="Q139" t="s">
        <v>1124</v>
      </c>
    </row>
    <row r="140" spans="1:17">
      <c r="A140">
        <v>147998</v>
      </c>
      <c r="B140" t="s">
        <v>17</v>
      </c>
      <c r="C140" t="s">
        <v>18</v>
      </c>
      <c r="D140" t="s">
        <v>19</v>
      </c>
      <c r="E140" t="s">
        <v>18</v>
      </c>
      <c r="F140">
        <v>2556</v>
      </c>
      <c r="G140" t="s">
        <v>20</v>
      </c>
      <c r="H140" t="s">
        <v>687</v>
      </c>
      <c r="I140" t="s">
        <v>688</v>
      </c>
      <c r="J140" t="s">
        <v>689</v>
      </c>
      <c r="K140" t="s">
        <v>690</v>
      </c>
      <c r="L140">
        <v>9.99</v>
      </c>
      <c r="M140" t="s">
        <v>25</v>
      </c>
      <c r="N140" t="s">
        <v>691</v>
      </c>
      <c r="O140" t="s">
        <v>641</v>
      </c>
      <c r="P140" t="s">
        <v>28</v>
      </c>
      <c r="Q140" t="s">
        <v>1124</v>
      </c>
    </row>
    <row r="141" spans="1:17">
      <c r="A141">
        <v>176666</v>
      </c>
      <c r="B141" t="s">
        <v>17</v>
      </c>
      <c r="C141" t="s">
        <v>35</v>
      </c>
      <c r="D141" t="s">
        <v>19</v>
      </c>
      <c r="E141" t="s">
        <v>18</v>
      </c>
      <c r="F141">
        <v>2852</v>
      </c>
      <c r="G141" t="s">
        <v>20</v>
      </c>
      <c r="H141" t="s">
        <v>692</v>
      </c>
      <c r="I141" t="s">
        <v>693</v>
      </c>
      <c r="J141" t="s">
        <v>694</v>
      </c>
      <c r="K141" t="s">
        <v>695</v>
      </c>
      <c r="L141">
        <v>45.9</v>
      </c>
      <c r="M141" t="s">
        <v>25</v>
      </c>
      <c r="N141" t="s">
        <v>696</v>
      </c>
      <c r="O141" t="s">
        <v>641</v>
      </c>
      <c r="P141" t="s">
        <v>28</v>
      </c>
      <c r="Q141" t="s">
        <v>1126</v>
      </c>
    </row>
    <row r="142" spans="1:17">
      <c r="A142">
        <v>193686</v>
      </c>
      <c r="B142" t="s">
        <v>17</v>
      </c>
      <c r="C142" t="s">
        <v>35</v>
      </c>
      <c r="D142" t="s">
        <v>19</v>
      </c>
      <c r="E142" t="s">
        <v>18</v>
      </c>
      <c r="F142">
        <v>1899</v>
      </c>
      <c r="G142" t="s">
        <v>20</v>
      </c>
      <c r="H142" t="s">
        <v>697</v>
      </c>
      <c r="I142" t="s">
        <v>698</v>
      </c>
      <c r="J142" t="s">
        <v>699</v>
      </c>
      <c r="K142" t="s">
        <v>700</v>
      </c>
      <c r="L142">
        <v>99.9</v>
      </c>
      <c r="M142" t="s">
        <v>25</v>
      </c>
      <c r="N142" t="s">
        <v>701</v>
      </c>
      <c r="O142" t="s">
        <v>641</v>
      </c>
      <c r="P142" t="s">
        <v>28</v>
      </c>
      <c r="Q142" t="s">
        <v>1125</v>
      </c>
    </row>
    <row r="143" spans="1:17">
      <c r="A143">
        <v>163610</v>
      </c>
      <c r="B143" t="s">
        <v>56</v>
      </c>
      <c r="C143" t="s">
        <v>35</v>
      </c>
      <c r="D143" t="s">
        <v>19</v>
      </c>
      <c r="E143" t="s">
        <v>18</v>
      </c>
      <c r="F143">
        <v>2466</v>
      </c>
      <c r="G143" t="s">
        <v>20</v>
      </c>
      <c r="H143" t="s">
        <v>702</v>
      </c>
      <c r="I143" t="s">
        <v>703</v>
      </c>
      <c r="J143" t="s">
        <v>704</v>
      </c>
      <c r="K143" t="s">
        <v>705</v>
      </c>
      <c r="L143">
        <v>89.9</v>
      </c>
      <c r="M143" t="s">
        <v>25</v>
      </c>
      <c r="N143" t="s">
        <v>706</v>
      </c>
      <c r="O143" t="s">
        <v>641</v>
      </c>
      <c r="P143" t="s">
        <v>28</v>
      </c>
      <c r="Q143" t="s">
        <v>1125</v>
      </c>
    </row>
    <row r="144" spans="1:17">
      <c r="A144">
        <v>170364</v>
      </c>
      <c r="B144" t="s">
        <v>17</v>
      </c>
      <c r="C144" t="s">
        <v>18</v>
      </c>
      <c r="D144" t="s">
        <v>19</v>
      </c>
      <c r="E144" t="s">
        <v>18</v>
      </c>
      <c r="F144">
        <v>818</v>
      </c>
      <c r="G144" t="s">
        <v>20</v>
      </c>
      <c r="H144" t="s">
        <v>707</v>
      </c>
      <c r="I144" t="s">
        <v>708</v>
      </c>
      <c r="J144" t="s">
        <v>709</v>
      </c>
      <c r="K144" t="s">
        <v>710</v>
      </c>
      <c r="L144">
        <v>45.9</v>
      </c>
      <c r="M144" t="s">
        <v>25</v>
      </c>
      <c r="N144" t="s">
        <v>711</v>
      </c>
      <c r="O144" t="s">
        <v>641</v>
      </c>
      <c r="P144" t="s">
        <v>28</v>
      </c>
      <c r="Q144" t="s">
        <v>1126</v>
      </c>
    </row>
    <row r="145" spans="1:17">
      <c r="A145">
        <v>167599</v>
      </c>
      <c r="B145" t="s">
        <v>17</v>
      </c>
      <c r="C145" t="s">
        <v>18</v>
      </c>
      <c r="D145" t="s">
        <v>19</v>
      </c>
      <c r="E145" t="s">
        <v>18</v>
      </c>
      <c r="F145">
        <v>1500</v>
      </c>
      <c r="G145" t="s">
        <v>20</v>
      </c>
      <c r="H145" t="s">
        <v>712</v>
      </c>
      <c r="I145" t="s">
        <v>713</v>
      </c>
      <c r="J145" t="s">
        <v>714</v>
      </c>
      <c r="K145" t="s">
        <v>715</v>
      </c>
      <c r="L145">
        <v>59.9</v>
      </c>
      <c r="M145" t="s">
        <v>25</v>
      </c>
      <c r="N145" t="s">
        <v>716</v>
      </c>
      <c r="O145" t="s">
        <v>641</v>
      </c>
      <c r="P145" t="s">
        <v>28</v>
      </c>
      <c r="Q145" t="s">
        <v>1125</v>
      </c>
    </row>
    <row r="146" spans="1:17">
      <c r="A146">
        <v>166421</v>
      </c>
      <c r="B146" t="s">
        <v>34</v>
      </c>
      <c r="C146" t="s">
        <v>35</v>
      </c>
      <c r="D146" t="s">
        <v>19</v>
      </c>
      <c r="E146" t="s">
        <v>18</v>
      </c>
      <c r="F146">
        <v>2878</v>
      </c>
      <c r="G146" t="s">
        <v>20</v>
      </c>
      <c r="H146" t="s">
        <v>717</v>
      </c>
      <c r="I146" t="s">
        <v>718</v>
      </c>
      <c r="J146" t="s">
        <v>719</v>
      </c>
      <c r="K146" t="s">
        <v>720</v>
      </c>
      <c r="L146">
        <v>79.900000000000006</v>
      </c>
      <c r="M146" t="s">
        <v>25</v>
      </c>
      <c r="N146" t="s">
        <v>721</v>
      </c>
      <c r="O146" t="s">
        <v>641</v>
      </c>
      <c r="P146" t="s">
        <v>28</v>
      </c>
      <c r="Q146" t="s">
        <v>1125</v>
      </c>
    </row>
    <row r="147" spans="1:17">
      <c r="A147">
        <v>129247</v>
      </c>
      <c r="B147" t="s">
        <v>56</v>
      </c>
      <c r="C147" t="s">
        <v>35</v>
      </c>
      <c r="D147" t="s">
        <v>19</v>
      </c>
      <c r="E147" t="s">
        <v>18</v>
      </c>
      <c r="F147">
        <v>2386</v>
      </c>
      <c r="G147" t="s">
        <v>20</v>
      </c>
      <c r="H147" t="s">
        <v>722</v>
      </c>
      <c r="I147" t="s">
        <v>723</v>
      </c>
      <c r="J147" t="s">
        <v>724</v>
      </c>
      <c r="K147" t="s">
        <v>725</v>
      </c>
      <c r="L147">
        <v>69.900000000000006</v>
      </c>
      <c r="M147" t="s">
        <v>25</v>
      </c>
      <c r="N147" t="s">
        <v>726</v>
      </c>
      <c r="O147" t="s">
        <v>641</v>
      </c>
      <c r="P147" t="s">
        <v>28</v>
      </c>
      <c r="Q147" t="s">
        <v>1125</v>
      </c>
    </row>
    <row r="148" spans="1:17">
      <c r="A148">
        <v>127314</v>
      </c>
      <c r="B148" t="s">
        <v>34</v>
      </c>
      <c r="C148" t="s">
        <v>35</v>
      </c>
      <c r="D148" t="s">
        <v>19</v>
      </c>
      <c r="E148" t="s">
        <v>35</v>
      </c>
      <c r="F148">
        <v>2076</v>
      </c>
      <c r="G148" t="s">
        <v>20</v>
      </c>
      <c r="H148" t="s">
        <v>727</v>
      </c>
      <c r="I148" t="s">
        <v>728</v>
      </c>
      <c r="J148" t="s">
        <v>729</v>
      </c>
      <c r="K148" t="s">
        <v>730</v>
      </c>
      <c r="L148">
        <v>99.9</v>
      </c>
      <c r="M148" t="s">
        <v>25</v>
      </c>
      <c r="N148" t="s">
        <v>731</v>
      </c>
      <c r="O148" t="s">
        <v>641</v>
      </c>
      <c r="P148" t="s">
        <v>28</v>
      </c>
      <c r="Q148" t="s">
        <v>1125</v>
      </c>
    </row>
    <row r="149" spans="1:17">
      <c r="A149">
        <v>111979</v>
      </c>
      <c r="B149" t="s">
        <v>56</v>
      </c>
      <c r="C149" t="s">
        <v>18</v>
      </c>
      <c r="D149" t="s">
        <v>19</v>
      </c>
      <c r="E149" t="s">
        <v>18</v>
      </c>
      <c r="F149">
        <v>2734</v>
      </c>
      <c r="G149" t="s">
        <v>20</v>
      </c>
      <c r="H149" t="s">
        <v>732</v>
      </c>
      <c r="I149" t="s">
        <v>733</v>
      </c>
      <c r="J149" t="s">
        <v>734</v>
      </c>
      <c r="K149" t="s">
        <v>735</v>
      </c>
      <c r="L149">
        <v>59.9</v>
      </c>
      <c r="M149" t="s">
        <v>25</v>
      </c>
      <c r="N149" t="s">
        <v>736</v>
      </c>
      <c r="O149" t="s">
        <v>641</v>
      </c>
      <c r="P149" t="s">
        <v>28</v>
      </c>
      <c r="Q149" t="s">
        <v>1125</v>
      </c>
    </row>
    <row r="150" spans="1:17">
      <c r="A150">
        <v>120354</v>
      </c>
      <c r="B150" t="s">
        <v>17</v>
      </c>
      <c r="C150" t="s">
        <v>35</v>
      </c>
      <c r="D150" t="s">
        <v>19</v>
      </c>
      <c r="E150" t="s">
        <v>18</v>
      </c>
      <c r="F150">
        <v>2836</v>
      </c>
      <c r="G150" t="s">
        <v>20</v>
      </c>
      <c r="H150" t="s">
        <v>737</v>
      </c>
      <c r="I150" t="s">
        <v>738</v>
      </c>
      <c r="J150" t="s">
        <v>739</v>
      </c>
      <c r="K150" t="s">
        <v>740</v>
      </c>
      <c r="L150">
        <v>59.9</v>
      </c>
      <c r="M150" t="s">
        <v>25</v>
      </c>
      <c r="N150" t="s">
        <v>741</v>
      </c>
      <c r="O150" t="s">
        <v>641</v>
      </c>
      <c r="P150" t="s">
        <v>28</v>
      </c>
      <c r="Q150" t="s">
        <v>1125</v>
      </c>
    </row>
    <row r="151" spans="1:17">
      <c r="A151">
        <v>144848</v>
      </c>
      <c r="B151" t="s">
        <v>56</v>
      </c>
      <c r="C151" t="s">
        <v>18</v>
      </c>
      <c r="D151" t="s">
        <v>19</v>
      </c>
      <c r="E151" t="s">
        <v>18</v>
      </c>
      <c r="F151">
        <v>2193</v>
      </c>
      <c r="G151" t="s">
        <v>20</v>
      </c>
      <c r="H151" t="s">
        <v>742</v>
      </c>
      <c r="I151" t="s">
        <v>743</v>
      </c>
      <c r="J151" t="s">
        <v>744</v>
      </c>
      <c r="K151" t="s">
        <v>745</v>
      </c>
      <c r="L151">
        <v>89.9</v>
      </c>
      <c r="M151" t="s">
        <v>25</v>
      </c>
      <c r="N151" t="s">
        <v>746</v>
      </c>
      <c r="O151" t="s">
        <v>641</v>
      </c>
      <c r="P151" t="s">
        <v>28</v>
      </c>
      <c r="Q151" t="s">
        <v>1125</v>
      </c>
    </row>
    <row r="152" spans="1:17">
      <c r="A152">
        <v>111957</v>
      </c>
      <c r="B152" t="s">
        <v>17</v>
      </c>
      <c r="C152" t="s">
        <v>35</v>
      </c>
      <c r="D152" t="s">
        <v>19</v>
      </c>
      <c r="E152" t="s">
        <v>18</v>
      </c>
      <c r="F152">
        <v>2164</v>
      </c>
      <c r="G152" t="s">
        <v>20</v>
      </c>
      <c r="H152" t="s">
        <v>747</v>
      </c>
      <c r="I152" t="s">
        <v>748</v>
      </c>
      <c r="J152" t="s">
        <v>749</v>
      </c>
      <c r="K152" t="s">
        <v>750</v>
      </c>
      <c r="L152">
        <v>89.9</v>
      </c>
      <c r="M152" t="s">
        <v>25</v>
      </c>
      <c r="N152" t="s">
        <v>751</v>
      </c>
      <c r="O152" t="s">
        <v>641</v>
      </c>
      <c r="P152" t="s">
        <v>28</v>
      </c>
      <c r="Q152" t="s">
        <v>1125</v>
      </c>
    </row>
    <row r="153" spans="1:17">
      <c r="A153">
        <v>160763</v>
      </c>
      <c r="B153" t="s">
        <v>56</v>
      </c>
      <c r="C153" t="s">
        <v>35</v>
      </c>
      <c r="D153" t="s">
        <v>19</v>
      </c>
      <c r="E153" t="s">
        <v>35</v>
      </c>
      <c r="F153">
        <v>991</v>
      </c>
      <c r="G153" t="s">
        <v>20</v>
      </c>
      <c r="H153" t="s">
        <v>752</v>
      </c>
      <c r="I153" t="s">
        <v>753</v>
      </c>
      <c r="J153" t="s">
        <v>754</v>
      </c>
      <c r="K153" t="s">
        <v>755</v>
      </c>
      <c r="L153">
        <v>45.9</v>
      </c>
      <c r="M153" t="s">
        <v>25</v>
      </c>
      <c r="N153" t="s">
        <v>756</v>
      </c>
      <c r="O153" t="s">
        <v>641</v>
      </c>
      <c r="P153" t="s">
        <v>28</v>
      </c>
      <c r="Q153" t="s">
        <v>1126</v>
      </c>
    </row>
    <row r="154" spans="1:17">
      <c r="A154">
        <v>168270</v>
      </c>
      <c r="B154" t="s">
        <v>34</v>
      </c>
      <c r="C154" t="s">
        <v>35</v>
      </c>
      <c r="D154" t="s">
        <v>19</v>
      </c>
      <c r="E154" t="s">
        <v>35</v>
      </c>
      <c r="F154">
        <v>1525</v>
      </c>
      <c r="G154" t="s">
        <v>20</v>
      </c>
      <c r="H154" t="s">
        <v>757</v>
      </c>
      <c r="I154" t="s">
        <v>758</v>
      </c>
      <c r="J154" t="s">
        <v>674</v>
      </c>
      <c r="K154" t="s">
        <v>759</v>
      </c>
      <c r="L154">
        <v>69.900000000000006</v>
      </c>
      <c r="M154" t="s">
        <v>25</v>
      </c>
      <c r="N154" t="s">
        <v>760</v>
      </c>
      <c r="O154" t="s">
        <v>641</v>
      </c>
      <c r="P154" t="s">
        <v>28</v>
      </c>
      <c r="Q154" t="s">
        <v>1125</v>
      </c>
    </row>
    <row r="155" spans="1:17">
      <c r="A155">
        <v>195082</v>
      </c>
      <c r="B155" t="s">
        <v>56</v>
      </c>
      <c r="C155" t="s">
        <v>18</v>
      </c>
      <c r="D155" t="s">
        <v>19</v>
      </c>
      <c r="E155" t="s">
        <v>18</v>
      </c>
      <c r="F155">
        <v>923</v>
      </c>
      <c r="G155" t="s">
        <v>20</v>
      </c>
      <c r="H155" t="s">
        <v>761</v>
      </c>
      <c r="I155" t="s">
        <v>762</v>
      </c>
      <c r="J155" t="s">
        <v>763</v>
      </c>
      <c r="K155" t="s">
        <v>764</v>
      </c>
      <c r="L155">
        <v>69.900000000000006</v>
      </c>
      <c r="M155" t="s">
        <v>25</v>
      </c>
      <c r="N155" t="s">
        <v>765</v>
      </c>
      <c r="O155" t="s">
        <v>641</v>
      </c>
      <c r="P155" t="s">
        <v>28</v>
      </c>
      <c r="Q155" t="s">
        <v>1125</v>
      </c>
    </row>
    <row r="156" spans="1:17">
      <c r="A156">
        <v>110329</v>
      </c>
      <c r="B156" t="s">
        <v>56</v>
      </c>
      <c r="C156" t="s">
        <v>18</v>
      </c>
      <c r="D156" t="s">
        <v>19</v>
      </c>
      <c r="E156" t="s">
        <v>35</v>
      </c>
      <c r="F156">
        <v>2397</v>
      </c>
      <c r="G156" t="s">
        <v>20</v>
      </c>
      <c r="H156" t="s">
        <v>766</v>
      </c>
      <c r="I156" t="s">
        <v>767</v>
      </c>
      <c r="J156" t="s">
        <v>768</v>
      </c>
      <c r="K156" t="s">
        <v>769</v>
      </c>
      <c r="L156">
        <v>69.900000000000006</v>
      </c>
      <c r="M156" t="s">
        <v>25</v>
      </c>
      <c r="N156" t="s">
        <v>770</v>
      </c>
      <c r="O156" t="s">
        <v>641</v>
      </c>
      <c r="P156" t="s">
        <v>28</v>
      </c>
      <c r="Q156" t="s">
        <v>1125</v>
      </c>
    </row>
    <row r="157" spans="1:17">
      <c r="A157">
        <v>147449</v>
      </c>
      <c r="B157" t="s">
        <v>34</v>
      </c>
      <c r="C157" t="s">
        <v>18</v>
      </c>
      <c r="D157" t="s">
        <v>19</v>
      </c>
      <c r="E157" t="s">
        <v>18</v>
      </c>
      <c r="F157">
        <v>1191</v>
      </c>
      <c r="G157" t="s">
        <v>20</v>
      </c>
      <c r="H157" t="s">
        <v>771</v>
      </c>
      <c r="I157" t="s">
        <v>772</v>
      </c>
      <c r="J157" t="s">
        <v>773</v>
      </c>
      <c r="K157" t="s">
        <v>774</v>
      </c>
      <c r="L157">
        <v>69.900000000000006</v>
      </c>
      <c r="M157" t="s">
        <v>25</v>
      </c>
      <c r="N157" t="s">
        <v>775</v>
      </c>
      <c r="O157" t="s">
        <v>641</v>
      </c>
      <c r="P157" t="s">
        <v>28</v>
      </c>
      <c r="Q157" t="s">
        <v>1125</v>
      </c>
    </row>
    <row r="158" spans="1:17">
      <c r="A158">
        <v>193332</v>
      </c>
      <c r="B158" t="s">
        <v>17</v>
      </c>
      <c r="C158" t="s">
        <v>35</v>
      </c>
      <c r="D158" t="s">
        <v>19</v>
      </c>
      <c r="E158" t="s">
        <v>18</v>
      </c>
      <c r="F158">
        <v>1237</v>
      </c>
      <c r="G158" t="s">
        <v>20</v>
      </c>
      <c r="H158" t="s">
        <v>776</v>
      </c>
      <c r="I158" t="s">
        <v>777</v>
      </c>
      <c r="J158" t="s">
        <v>778</v>
      </c>
      <c r="K158" t="s">
        <v>779</v>
      </c>
      <c r="L158">
        <v>49.9</v>
      </c>
      <c r="M158" t="s">
        <v>25</v>
      </c>
      <c r="N158" t="s">
        <v>780</v>
      </c>
      <c r="O158" t="s">
        <v>641</v>
      </c>
      <c r="P158" t="s">
        <v>28</v>
      </c>
      <c r="Q158" t="s">
        <v>1126</v>
      </c>
    </row>
    <row r="159" spans="1:17">
      <c r="A159">
        <v>146804</v>
      </c>
      <c r="B159" t="s">
        <v>17</v>
      </c>
      <c r="C159" t="s">
        <v>35</v>
      </c>
      <c r="D159" t="s">
        <v>19</v>
      </c>
      <c r="E159" t="s">
        <v>18</v>
      </c>
      <c r="F159">
        <v>1504</v>
      </c>
      <c r="G159" t="s">
        <v>20</v>
      </c>
      <c r="H159" t="s">
        <v>781</v>
      </c>
      <c r="I159" t="s">
        <v>782</v>
      </c>
      <c r="J159" t="s">
        <v>724</v>
      </c>
      <c r="K159" t="s">
        <v>783</v>
      </c>
      <c r="L159">
        <v>69.900000000000006</v>
      </c>
      <c r="M159" t="s">
        <v>25</v>
      </c>
      <c r="N159" t="s">
        <v>784</v>
      </c>
      <c r="O159" t="s">
        <v>641</v>
      </c>
      <c r="P159" t="s">
        <v>28</v>
      </c>
      <c r="Q159" t="s">
        <v>1125</v>
      </c>
    </row>
    <row r="160" spans="1:17">
      <c r="A160">
        <v>123230</v>
      </c>
      <c r="B160" t="s">
        <v>17</v>
      </c>
      <c r="C160" t="s">
        <v>18</v>
      </c>
      <c r="D160" t="s">
        <v>19</v>
      </c>
      <c r="E160" t="s">
        <v>35</v>
      </c>
      <c r="F160">
        <v>880</v>
      </c>
      <c r="G160" t="s">
        <v>20</v>
      </c>
      <c r="H160" t="s">
        <v>957</v>
      </c>
      <c r="I160" t="s">
        <v>958</v>
      </c>
      <c r="J160" t="s">
        <v>959</v>
      </c>
      <c r="K160" t="s">
        <v>960</v>
      </c>
      <c r="L160">
        <v>69.900000000000006</v>
      </c>
      <c r="M160" t="s">
        <v>25</v>
      </c>
      <c r="N160" t="s">
        <v>961</v>
      </c>
      <c r="O160" t="s">
        <v>27</v>
      </c>
      <c r="P160" t="s">
        <v>28</v>
      </c>
      <c r="Q160" t="s">
        <v>1125</v>
      </c>
    </row>
    <row r="161" spans="1:17">
      <c r="A161">
        <v>154676</v>
      </c>
      <c r="B161" t="s">
        <v>17</v>
      </c>
      <c r="C161" t="s">
        <v>18</v>
      </c>
      <c r="D161" t="s">
        <v>19</v>
      </c>
      <c r="E161" t="s">
        <v>18</v>
      </c>
      <c r="F161">
        <v>943</v>
      </c>
      <c r="G161" t="s">
        <v>20</v>
      </c>
      <c r="H161" t="s">
        <v>962</v>
      </c>
      <c r="I161" t="s">
        <v>963</v>
      </c>
      <c r="J161" t="s">
        <v>964</v>
      </c>
      <c r="K161" t="s">
        <v>965</v>
      </c>
      <c r="L161">
        <v>69.900000000000006</v>
      </c>
      <c r="M161" t="s">
        <v>25</v>
      </c>
      <c r="N161" t="s">
        <v>966</v>
      </c>
      <c r="O161" t="s">
        <v>27</v>
      </c>
      <c r="P161" t="s">
        <v>28</v>
      </c>
      <c r="Q161" t="s">
        <v>1125</v>
      </c>
    </row>
    <row r="162" spans="1:17">
      <c r="A162">
        <v>152985</v>
      </c>
      <c r="B162" t="s">
        <v>17</v>
      </c>
      <c r="C162" t="s">
        <v>35</v>
      </c>
      <c r="D162" t="s">
        <v>19</v>
      </c>
      <c r="E162" t="s">
        <v>35</v>
      </c>
      <c r="F162">
        <v>1049</v>
      </c>
      <c r="G162" t="s">
        <v>20</v>
      </c>
      <c r="H162" t="s">
        <v>967</v>
      </c>
      <c r="I162" t="s">
        <v>968</v>
      </c>
      <c r="J162" t="s">
        <v>540</v>
      </c>
      <c r="K162" t="s">
        <v>969</v>
      </c>
      <c r="L162">
        <v>89.9</v>
      </c>
      <c r="M162" t="s">
        <v>25</v>
      </c>
      <c r="N162" t="s">
        <v>970</v>
      </c>
      <c r="O162" t="s">
        <v>27</v>
      </c>
      <c r="P162" t="s">
        <v>28</v>
      </c>
      <c r="Q162" t="s">
        <v>1125</v>
      </c>
    </row>
    <row r="163" spans="1:17">
      <c r="A163">
        <v>175584</v>
      </c>
      <c r="B163" t="s">
        <v>56</v>
      </c>
      <c r="C163" t="s">
        <v>18</v>
      </c>
      <c r="D163" t="s">
        <v>19</v>
      </c>
      <c r="E163" t="s">
        <v>18</v>
      </c>
      <c r="F163">
        <v>2084</v>
      </c>
      <c r="G163" t="s">
        <v>20</v>
      </c>
      <c r="H163" t="s">
        <v>971</v>
      </c>
      <c r="I163" t="s">
        <v>972</v>
      </c>
      <c r="J163" t="s">
        <v>973</v>
      </c>
      <c r="K163" t="s">
        <v>974</v>
      </c>
      <c r="L163">
        <v>69.900000000000006</v>
      </c>
      <c r="M163" t="s">
        <v>25</v>
      </c>
      <c r="N163" t="s">
        <v>975</v>
      </c>
      <c r="O163" t="s">
        <v>976</v>
      </c>
      <c r="P163" t="s">
        <v>28</v>
      </c>
      <c r="Q163" t="s">
        <v>1125</v>
      </c>
    </row>
    <row r="164" spans="1:17">
      <c r="A164">
        <v>147491</v>
      </c>
      <c r="B164" t="s">
        <v>34</v>
      </c>
      <c r="C164" t="s">
        <v>18</v>
      </c>
      <c r="D164" t="s">
        <v>19</v>
      </c>
      <c r="E164" t="s">
        <v>18</v>
      </c>
      <c r="F164">
        <v>1563</v>
      </c>
      <c r="G164" t="s">
        <v>20</v>
      </c>
      <c r="H164" t="s">
        <v>977</v>
      </c>
      <c r="I164" t="s">
        <v>978</v>
      </c>
      <c r="J164" t="s">
        <v>979</v>
      </c>
      <c r="K164" t="s">
        <v>980</v>
      </c>
      <c r="L164">
        <v>59.9</v>
      </c>
      <c r="M164" t="s">
        <v>25</v>
      </c>
      <c r="N164" t="s">
        <v>981</v>
      </c>
      <c r="O164" t="s">
        <v>976</v>
      </c>
      <c r="P164" t="s">
        <v>28</v>
      </c>
      <c r="Q164" t="s">
        <v>1125</v>
      </c>
    </row>
    <row r="165" spans="1:17">
      <c r="A165">
        <v>198283</v>
      </c>
      <c r="B165" t="s">
        <v>34</v>
      </c>
      <c r="C165" t="s">
        <v>35</v>
      </c>
      <c r="D165" t="s">
        <v>19</v>
      </c>
      <c r="E165" t="s">
        <v>35</v>
      </c>
      <c r="F165">
        <v>1558</v>
      </c>
      <c r="G165" t="s">
        <v>20</v>
      </c>
      <c r="H165" t="s">
        <v>982</v>
      </c>
      <c r="I165" t="s">
        <v>983</v>
      </c>
      <c r="J165" t="s">
        <v>984</v>
      </c>
      <c r="K165" t="s">
        <v>985</v>
      </c>
      <c r="L165">
        <v>69.900000000000006</v>
      </c>
      <c r="M165" t="s">
        <v>25</v>
      </c>
      <c r="N165" t="s">
        <v>986</v>
      </c>
      <c r="O165" t="s">
        <v>976</v>
      </c>
      <c r="P165" t="s">
        <v>28</v>
      </c>
      <c r="Q165" t="s">
        <v>1125</v>
      </c>
    </row>
    <row r="166" spans="1:17">
      <c r="A166">
        <v>141547</v>
      </c>
      <c r="B166" t="s">
        <v>34</v>
      </c>
      <c r="C166" t="s">
        <v>18</v>
      </c>
      <c r="D166" t="s">
        <v>19</v>
      </c>
      <c r="E166" t="s">
        <v>18</v>
      </c>
      <c r="F166">
        <v>1426</v>
      </c>
      <c r="G166" t="s">
        <v>20</v>
      </c>
      <c r="H166" t="s">
        <v>987</v>
      </c>
      <c r="I166" t="s">
        <v>988</v>
      </c>
      <c r="J166" t="s">
        <v>984</v>
      </c>
      <c r="K166" t="s">
        <v>985</v>
      </c>
      <c r="L166">
        <v>69.900000000000006</v>
      </c>
      <c r="M166" t="s">
        <v>25</v>
      </c>
      <c r="N166" t="s">
        <v>989</v>
      </c>
      <c r="O166" t="s">
        <v>976</v>
      </c>
      <c r="P166" t="s">
        <v>28</v>
      </c>
      <c r="Q166" t="s">
        <v>1125</v>
      </c>
    </row>
    <row r="167" spans="1:17">
      <c r="A167">
        <v>156342</v>
      </c>
      <c r="B167" t="s">
        <v>56</v>
      </c>
      <c r="C167" t="s">
        <v>35</v>
      </c>
      <c r="D167" t="s">
        <v>19</v>
      </c>
      <c r="E167" t="s">
        <v>35</v>
      </c>
      <c r="F167">
        <v>1466</v>
      </c>
      <c r="G167" t="s">
        <v>20</v>
      </c>
      <c r="H167" t="s">
        <v>990</v>
      </c>
      <c r="I167" t="s">
        <v>991</v>
      </c>
      <c r="J167" t="s">
        <v>992</v>
      </c>
      <c r="K167" t="s">
        <v>993</v>
      </c>
      <c r="L167">
        <v>109</v>
      </c>
      <c r="M167" t="s">
        <v>25</v>
      </c>
      <c r="N167" t="s">
        <v>994</v>
      </c>
      <c r="O167" t="s">
        <v>976</v>
      </c>
      <c r="P167" t="s">
        <v>28</v>
      </c>
      <c r="Q167" t="s">
        <v>1125</v>
      </c>
    </row>
    <row r="168" spans="1:17">
      <c r="A168">
        <v>186083</v>
      </c>
      <c r="B168" t="s">
        <v>34</v>
      </c>
      <c r="C168" t="s">
        <v>18</v>
      </c>
      <c r="D168" t="s">
        <v>19</v>
      </c>
      <c r="E168" t="s">
        <v>35</v>
      </c>
      <c r="F168">
        <v>624</v>
      </c>
      <c r="G168" t="s">
        <v>20</v>
      </c>
      <c r="H168" t="s">
        <v>995</v>
      </c>
      <c r="I168" t="s">
        <v>996</v>
      </c>
      <c r="J168" t="s">
        <v>997</v>
      </c>
      <c r="K168" t="s">
        <v>998</v>
      </c>
      <c r="L168">
        <v>49.9</v>
      </c>
      <c r="M168" t="s">
        <v>25</v>
      </c>
      <c r="N168" t="s">
        <v>999</v>
      </c>
      <c r="O168" t="s">
        <v>976</v>
      </c>
      <c r="P168" t="s">
        <v>28</v>
      </c>
      <c r="Q168" t="s">
        <v>1126</v>
      </c>
    </row>
    <row r="169" spans="1:17">
      <c r="A169">
        <v>171776</v>
      </c>
      <c r="B169" t="s">
        <v>17</v>
      </c>
      <c r="C169" t="s">
        <v>35</v>
      </c>
      <c r="D169" t="s">
        <v>19</v>
      </c>
      <c r="E169" t="s">
        <v>18</v>
      </c>
      <c r="F169">
        <v>1685</v>
      </c>
      <c r="G169" t="s">
        <v>20</v>
      </c>
      <c r="H169" t="s">
        <v>1000</v>
      </c>
      <c r="I169" t="s">
        <v>1001</v>
      </c>
      <c r="J169" t="s">
        <v>1002</v>
      </c>
      <c r="K169" t="s">
        <v>1003</v>
      </c>
      <c r="L169">
        <v>12.99</v>
      </c>
      <c r="M169" t="s">
        <v>25</v>
      </c>
      <c r="N169" t="s">
        <v>1004</v>
      </c>
      <c r="O169" t="s">
        <v>976</v>
      </c>
      <c r="P169" t="s">
        <v>28</v>
      </c>
      <c r="Q169" t="s">
        <v>1124</v>
      </c>
    </row>
    <row r="170" spans="1:17">
      <c r="A170">
        <v>134429</v>
      </c>
      <c r="B170" t="s">
        <v>17</v>
      </c>
      <c r="C170" t="s">
        <v>18</v>
      </c>
      <c r="D170" t="s">
        <v>19</v>
      </c>
      <c r="E170" t="s">
        <v>18</v>
      </c>
      <c r="F170">
        <v>2914</v>
      </c>
      <c r="G170" t="s">
        <v>20</v>
      </c>
      <c r="H170" t="s">
        <v>1005</v>
      </c>
      <c r="I170" t="s">
        <v>1006</v>
      </c>
      <c r="J170" t="s">
        <v>1007</v>
      </c>
      <c r="K170" t="s">
        <v>1008</v>
      </c>
      <c r="L170">
        <v>69.900000000000006</v>
      </c>
      <c r="M170" t="s">
        <v>25</v>
      </c>
      <c r="N170" t="s">
        <v>1009</v>
      </c>
      <c r="O170" t="s">
        <v>976</v>
      </c>
      <c r="P170" t="s">
        <v>28</v>
      </c>
      <c r="Q170" t="s">
        <v>1125</v>
      </c>
    </row>
    <row r="171" spans="1:17">
      <c r="A171">
        <v>172816</v>
      </c>
      <c r="B171" t="s">
        <v>17</v>
      </c>
      <c r="C171" t="s">
        <v>18</v>
      </c>
      <c r="D171" t="s">
        <v>19</v>
      </c>
      <c r="E171" t="s">
        <v>35</v>
      </c>
      <c r="F171">
        <v>1524</v>
      </c>
      <c r="G171" t="s">
        <v>20</v>
      </c>
      <c r="H171" t="s">
        <v>1010</v>
      </c>
      <c r="I171" t="s">
        <v>1011</v>
      </c>
      <c r="J171" t="s">
        <v>1012</v>
      </c>
      <c r="K171" t="s">
        <v>1013</v>
      </c>
      <c r="L171">
        <v>69.900000000000006</v>
      </c>
      <c r="M171" t="s">
        <v>25</v>
      </c>
      <c r="N171" t="s">
        <v>1014</v>
      </c>
      <c r="O171" t="s">
        <v>790</v>
      </c>
      <c r="P171" t="s">
        <v>28</v>
      </c>
      <c r="Q171" t="s">
        <v>1125</v>
      </c>
    </row>
    <row r="172" spans="1:17">
      <c r="A172">
        <v>136272</v>
      </c>
      <c r="B172" t="s">
        <v>34</v>
      </c>
      <c r="C172" t="s">
        <v>18</v>
      </c>
      <c r="D172" t="s">
        <v>19</v>
      </c>
      <c r="E172" t="s">
        <v>35</v>
      </c>
      <c r="F172">
        <v>2887</v>
      </c>
      <c r="G172" t="s">
        <v>20</v>
      </c>
      <c r="H172" t="s">
        <v>1015</v>
      </c>
      <c r="I172" t="s">
        <v>1016</v>
      </c>
      <c r="J172" t="s">
        <v>1017</v>
      </c>
      <c r="K172" t="s">
        <v>1018</v>
      </c>
      <c r="L172">
        <v>12.99</v>
      </c>
      <c r="M172" t="s">
        <v>25</v>
      </c>
      <c r="N172" t="s">
        <v>1019</v>
      </c>
      <c r="O172" t="s">
        <v>790</v>
      </c>
      <c r="P172" t="s">
        <v>28</v>
      </c>
      <c r="Q172" t="s">
        <v>1124</v>
      </c>
    </row>
    <row r="173" spans="1:17">
      <c r="A173">
        <v>193227</v>
      </c>
      <c r="B173" t="s">
        <v>34</v>
      </c>
      <c r="C173" t="s">
        <v>35</v>
      </c>
      <c r="D173" t="s">
        <v>19</v>
      </c>
      <c r="E173" t="s">
        <v>35</v>
      </c>
      <c r="F173">
        <v>1778</v>
      </c>
      <c r="G173" t="s">
        <v>20</v>
      </c>
      <c r="H173" t="s">
        <v>1020</v>
      </c>
      <c r="I173" t="s">
        <v>1021</v>
      </c>
      <c r="J173" t="s">
        <v>1022</v>
      </c>
      <c r="K173" t="s">
        <v>1023</v>
      </c>
      <c r="L173">
        <v>69.900000000000006</v>
      </c>
      <c r="M173" t="s">
        <v>25</v>
      </c>
      <c r="N173" t="s">
        <v>1024</v>
      </c>
      <c r="O173" t="s">
        <v>790</v>
      </c>
      <c r="P173" t="s">
        <v>28</v>
      </c>
      <c r="Q173" t="s">
        <v>1125</v>
      </c>
    </row>
    <row r="174" spans="1:17">
      <c r="A174">
        <v>165786</v>
      </c>
      <c r="B174" t="s">
        <v>34</v>
      </c>
      <c r="C174" t="s">
        <v>18</v>
      </c>
      <c r="D174" t="s">
        <v>19</v>
      </c>
      <c r="E174" t="s">
        <v>35</v>
      </c>
      <c r="F174">
        <v>1278</v>
      </c>
      <c r="G174" t="s">
        <v>20</v>
      </c>
      <c r="H174" t="s">
        <v>1025</v>
      </c>
      <c r="I174" t="s">
        <v>1026</v>
      </c>
      <c r="J174" t="s">
        <v>1027</v>
      </c>
      <c r="K174" t="s">
        <v>1028</v>
      </c>
      <c r="L174">
        <v>59.9</v>
      </c>
      <c r="M174" t="s">
        <v>25</v>
      </c>
      <c r="N174" t="s">
        <v>1029</v>
      </c>
      <c r="O174" t="s">
        <v>790</v>
      </c>
      <c r="P174" t="s">
        <v>28</v>
      </c>
      <c r="Q174" t="s">
        <v>1125</v>
      </c>
    </row>
    <row r="175" spans="1:17">
      <c r="A175">
        <v>174708</v>
      </c>
      <c r="B175" t="s">
        <v>56</v>
      </c>
      <c r="C175" t="s">
        <v>18</v>
      </c>
      <c r="D175" t="s">
        <v>19</v>
      </c>
      <c r="E175" t="s">
        <v>35</v>
      </c>
      <c r="F175">
        <v>529</v>
      </c>
      <c r="G175" t="s">
        <v>20</v>
      </c>
      <c r="H175" t="s">
        <v>1030</v>
      </c>
      <c r="I175" t="s">
        <v>1031</v>
      </c>
      <c r="J175" t="s">
        <v>1032</v>
      </c>
      <c r="K175" t="s">
        <v>1033</v>
      </c>
      <c r="L175">
        <v>59.9</v>
      </c>
      <c r="M175" t="s">
        <v>25</v>
      </c>
      <c r="N175" t="s">
        <v>1034</v>
      </c>
      <c r="O175" t="s">
        <v>790</v>
      </c>
      <c r="P175" t="s">
        <v>28</v>
      </c>
      <c r="Q175" t="s">
        <v>1125</v>
      </c>
    </row>
    <row r="176" spans="1:17">
      <c r="A176">
        <v>142257</v>
      </c>
      <c r="B176" t="s">
        <v>17</v>
      </c>
      <c r="C176" t="s">
        <v>35</v>
      </c>
      <c r="D176" t="s">
        <v>19</v>
      </c>
      <c r="E176" t="s">
        <v>35</v>
      </c>
      <c r="F176">
        <v>1180</v>
      </c>
      <c r="G176" t="s">
        <v>20</v>
      </c>
      <c r="H176" t="s">
        <v>1035</v>
      </c>
      <c r="I176" t="s">
        <v>1036</v>
      </c>
      <c r="J176" t="s">
        <v>1037</v>
      </c>
      <c r="K176" t="s">
        <v>1038</v>
      </c>
      <c r="L176">
        <v>19.899999999999999</v>
      </c>
      <c r="M176" t="s">
        <v>25</v>
      </c>
      <c r="N176" t="s">
        <v>1039</v>
      </c>
      <c r="O176" t="s">
        <v>1040</v>
      </c>
      <c r="P176" t="s">
        <v>28</v>
      </c>
      <c r="Q176" t="s">
        <v>1124</v>
      </c>
    </row>
    <row r="177" spans="1:17">
      <c r="A177">
        <v>126146</v>
      </c>
      <c r="B177" t="s">
        <v>17</v>
      </c>
      <c r="C177" t="s">
        <v>18</v>
      </c>
      <c r="D177" t="s">
        <v>19</v>
      </c>
      <c r="E177" t="s">
        <v>18</v>
      </c>
      <c r="F177">
        <v>2759</v>
      </c>
      <c r="G177" t="s">
        <v>20</v>
      </c>
      <c r="H177" t="s">
        <v>1041</v>
      </c>
      <c r="I177" t="s">
        <v>1042</v>
      </c>
      <c r="J177" t="s">
        <v>1043</v>
      </c>
      <c r="K177" t="s">
        <v>1044</v>
      </c>
      <c r="L177">
        <v>39.9</v>
      </c>
      <c r="M177" t="s">
        <v>25</v>
      </c>
      <c r="N177" t="s">
        <v>1045</v>
      </c>
      <c r="O177" t="s">
        <v>1040</v>
      </c>
      <c r="P177" t="s">
        <v>28</v>
      </c>
      <c r="Q177" t="s">
        <v>1126</v>
      </c>
    </row>
    <row r="178" spans="1:17">
      <c r="A178">
        <v>129134</v>
      </c>
      <c r="B178" t="s">
        <v>17</v>
      </c>
      <c r="C178" t="s">
        <v>18</v>
      </c>
      <c r="D178" t="s">
        <v>19</v>
      </c>
      <c r="E178" t="s">
        <v>35</v>
      </c>
      <c r="F178">
        <v>1831</v>
      </c>
      <c r="G178" t="s">
        <v>20</v>
      </c>
      <c r="H178" t="s">
        <v>1046</v>
      </c>
      <c r="I178" t="s">
        <v>1047</v>
      </c>
      <c r="J178" t="s">
        <v>1048</v>
      </c>
      <c r="K178" t="s">
        <v>1049</v>
      </c>
      <c r="L178">
        <v>29.9</v>
      </c>
      <c r="M178" t="s">
        <v>25</v>
      </c>
      <c r="N178" t="s">
        <v>1050</v>
      </c>
      <c r="O178" t="s">
        <v>1040</v>
      </c>
      <c r="P178" t="s">
        <v>28</v>
      </c>
      <c r="Q178" t="s">
        <v>1126</v>
      </c>
    </row>
    <row r="179" spans="1:17">
      <c r="A179">
        <v>129898</v>
      </c>
      <c r="B179" t="s">
        <v>34</v>
      </c>
      <c r="C179" t="s">
        <v>18</v>
      </c>
      <c r="D179" t="s">
        <v>19</v>
      </c>
      <c r="E179" t="s">
        <v>18</v>
      </c>
      <c r="F179">
        <v>1866</v>
      </c>
      <c r="G179" t="s">
        <v>20</v>
      </c>
      <c r="H179" t="s">
        <v>1051</v>
      </c>
      <c r="I179" t="s">
        <v>1052</v>
      </c>
      <c r="J179" t="s">
        <v>1053</v>
      </c>
      <c r="K179" t="s">
        <v>1054</v>
      </c>
      <c r="L179">
        <v>39.9</v>
      </c>
      <c r="M179" t="s">
        <v>25</v>
      </c>
      <c r="N179" t="s">
        <v>1055</v>
      </c>
      <c r="O179" t="s">
        <v>1040</v>
      </c>
      <c r="P179" t="s">
        <v>28</v>
      </c>
      <c r="Q179" t="s">
        <v>1126</v>
      </c>
    </row>
    <row r="180" spans="1:17">
      <c r="A180">
        <v>189692</v>
      </c>
      <c r="B180" t="s">
        <v>34</v>
      </c>
      <c r="C180" t="s">
        <v>35</v>
      </c>
      <c r="D180" t="s">
        <v>19</v>
      </c>
      <c r="E180" t="s">
        <v>18</v>
      </c>
      <c r="F180">
        <v>1553</v>
      </c>
      <c r="G180" t="s">
        <v>20</v>
      </c>
      <c r="H180" t="s">
        <v>1056</v>
      </c>
      <c r="I180" t="s">
        <v>1057</v>
      </c>
      <c r="J180" t="s">
        <v>1058</v>
      </c>
      <c r="K180" t="s">
        <v>1059</v>
      </c>
      <c r="L180">
        <v>39.9</v>
      </c>
      <c r="M180" t="s">
        <v>25</v>
      </c>
      <c r="N180" t="s">
        <v>1060</v>
      </c>
      <c r="O180" t="s">
        <v>1040</v>
      </c>
      <c r="P180" t="s">
        <v>28</v>
      </c>
      <c r="Q180" t="s">
        <v>1126</v>
      </c>
    </row>
    <row r="181" spans="1:17">
      <c r="A181">
        <v>154846</v>
      </c>
      <c r="B181" t="s">
        <v>34</v>
      </c>
      <c r="C181" t="s">
        <v>35</v>
      </c>
      <c r="D181" t="s">
        <v>19</v>
      </c>
      <c r="E181" t="s">
        <v>18</v>
      </c>
      <c r="F181">
        <v>917</v>
      </c>
      <c r="G181" t="s">
        <v>20</v>
      </c>
      <c r="H181" t="s">
        <v>1061</v>
      </c>
      <c r="I181" t="s">
        <v>1062</v>
      </c>
      <c r="J181" t="s">
        <v>1063</v>
      </c>
      <c r="K181" t="s">
        <v>1064</v>
      </c>
      <c r="L181">
        <v>39.9</v>
      </c>
      <c r="M181" t="s">
        <v>25</v>
      </c>
      <c r="N181" t="s">
        <v>1065</v>
      </c>
      <c r="O181" t="s">
        <v>1040</v>
      </c>
      <c r="P181" t="s">
        <v>28</v>
      </c>
      <c r="Q181" t="s">
        <v>1126</v>
      </c>
    </row>
    <row r="182" spans="1:17">
      <c r="A182">
        <v>122307</v>
      </c>
      <c r="B182" t="s">
        <v>34</v>
      </c>
      <c r="C182" t="s">
        <v>18</v>
      </c>
      <c r="D182" t="s">
        <v>19</v>
      </c>
      <c r="E182" t="s">
        <v>18</v>
      </c>
      <c r="F182">
        <v>702</v>
      </c>
      <c r="G182" t="s">
        <v>20</v>
      </c>
      <c r="H182" t="s">
        <v>1066</v>
      </c>
      <c r="I182" t="s">
        <v>1067</v>
      </c>
      <c r="J182" t="s">
        <v>1068</v>
      </c>
      <c r="K182" t="s">
        <v>1069</v>
      </c>
      <c r="L182">
        <v>49.9</v>
      </c>
      <c r="M182" t="s">
        <v>25</v>
      </c>
      <c r="N182" t="s">
        <v>1070</v>
      </c>
      <c r="O182" t="s">
        <v>1040</v>
      </c>
      <c r="P182" t="s">
        <v>28</v>
      </c>
      <c r="Q182" t="s">
        <v>1126</v>
      </c>
    </row>
    <row r="183" spans="1:17">
      <c r="A183">
        <v>182099</v>
      </c>
      <c r="B183" t="s">
        <v>17</v>
      </c>
      <c r="C183" t="s">
        <v>35</v>
      </c>
      <c r="D183" t="s">
        <v>19</v>
      </c>
      <c r="E183" t="s">
        <v>18</v>
      </c>
      <c r="F183">
        <v>1978</v>
      </c>
      <c r="G183" t="s">
        <v>20</v>
      </c>
      <c r="H183" t="s">
        <v>1071</v>
      </c>
      <c r="I183" t="s">
        <v>1072</v>
      </c>
      <c r="J183" t="s">
        <v>1073</v>
      </c>
      <c r="K183" t="s">
        <v>1074</v>
      </c>
      <c r="L183">
        <v>39.9</v>
      </c>
      <c r="M183" t="s">
        <v>25</v>
      </c>
      <c r="N183" t="s">
        <v>1075</v>
      </c>
      <c r="O183" t="s">
        <v>1040</v>
      </c>
      <c r="P183" t="s">
        <v>28</v>
      </c>
      <c r="Q183" t="s">
        <v>1126</v>
      </c>
    </row>
    <row r="184" spans="1:17">
      <c r="A184">
        <v>159816</v>
      </c>
      <c r="B184" t="s">
        <v>56</v>
      </c>
      <c r="C184" t="s">
        <v>18</v>
      </c>
      <c r="D184" t="s">
        <v>19</v>
      </c>
      <c r="E184" t="s">
        <v>35</v>
      </c>
      <c r="F184">
        <v>1961</v>
      </c>
      <c r="G184" t="s">
        <v>20</v>
      </c>
      <c r="H184" t="s">
        <v>1076</v>
      </c>
      <c r="I184" t="s">
        <v>1077</v>
      </c>
      <c r="J184" t="s">
        <v>1078</v>
      </c>
      <c r="K184" t="s">
        <v>1079</v>
      </c>
      <c r="L184">
        <v>27.9</v>
      </c>
      <c r="M184" t="s">
        <v>25</v>
      </c>
      <c r="N184" t="s">
        <v>1080</v>
      </c>
      <c r="O184" t="s">
        <v>1040</v>
      </c>
      <c r="P184" t="s">
        <v>28</v>
      </c>
      <c r="Q184" t="s">
        <v>1126</v>
      </c>
    </row>
    <row r="185" spans="1:17">
      <c r="A185">
        <v>165326</v>
      </c>
      <c r="B185" t="s">
        <v>17</v>
      </c>
      <c r="C185" t="s">
        <v>18</v>
      </c>
      <c r="D185" t="s">
        <v>19</v>
      </c>
      <c r="E185" t="s">
        <v>18</v>
      </c>
      <c r="F185">
        <v>1188</v>
      </c>
      <c r="G185" t="s">
        <v>20</v>
      </c>
      <c r="H185" t="s">
        <v>1081</v>
      </c>
      <c r="I185" t="s">
        <v>1082</v>
      </c>
      <c r="J185" t="s">
        <v>1083</v>
      </c>
      <c r="K185" t="s">
        <v>1084</v>
      </c>
      <c r="L185">
        <v>45.9</v>
      </c>
      <c r="M185" t="s">
        <v>25</v>
      </c>
      <c r="N185" t="s">
        <v>1085</v>
      </c>
      <c r="O185" t="s">
        <v>1040</v>
      </c>
      <c r="P185" t="s">
        <v>28</v>
      </c>
      <c r="Q185" t="s">
        <v>1126</v>
      </c>
    </row>
    <row r="186" spans="1:17">
      <c r="A186">
        <v>185154</v>
      </c>
      <c r="B186" t="s">
        <v>17</v>
      </c>
      <c r="C186" t="s">
        <v>35</v>
      </c>
      <c r="D186" t="s">
        <v>19</v>
      </c>
      <c r="E186" t="s">
        <v>18</v>
      </c>
      <c r="F186">
        <v>996</v>
      </c>
      <c r="G186" t="s">
        <v>20</v>
      </c>
      <c r="H186" t="s">
        <v>1086</v>
      </c>
      <c r="I186" t="s">
        <v>1087</v>
      </c>
      <c r="J186" t="s">
        <v>1088</v>
      </c>
      <c r="K186" t="s">
        <v>1089</v>
      </c>
      <c r="L186">
        <v>39.9</v>
      </c>
      <c r="M186" t="s">
        <v>25</v>
      </c>
      <c r="N186" t="s">
        <v>1090</v>
      </c>
      <c r="O186" t="s">
        <v>1040</v>
      </c>
      <c r="P186" t="s">
        <v>28</v>
      </c>
      <c r="Q186" t="s">
        <v>1126</v>
      </c>
    </row>
    <row r="187" spans="1:17">
      <c r="A187">
        <v>141330</v>
      </c>
      <c r="B187" t="s">
        <v>17</v>
      </c>
      <c r="C187" t="s">
        <v>18</v>
      </c>
      <c r="D187" t="s">
        <v>19</v>
      </c>
      <c r="E187" t="s">
        <v>35</v>
      </c>
      <c r="F187">
        <v>1915</v>
      </c>
      <c r="G187" t="s">
        <v>20</v>
      </c>
      <c r="H187" t="s">
        <v>1091</v>
      </c>
      <c r="I187" t="s">
        <v>1092</v>
      </c>
      <c r="J187" t="s">
        <v>1093</v>
      </c>
      <c r="K187" t="s">
        <v>1094</v>
      </c>
      <c r="L187">
        <v>39.9</v>
      </c>
      <c r="M187" t="s">
        <v>25</v>
      </c>
      <c r="N187" t="s">
        <v>1095</v>
      </c>
      <c r="O187" t="s">
        <v>1040</v>
      </c>
      <c r="P187" t="s">
        <v>28</v>
      </c>
      <c r="Q187" t="s">
        <v>1126</v>
      </c>
    </row>
    <row r="188" spans="1:17">
      <c r="A188">
        <v>158958</v>
      </c>
      <c r="B188" t="s">
        <v>34</v>
      </c>
      <c r="C188" t="s">
        <v>18</v>
      </c>
      <c r="D188" t="s">
        <v>19</v>
      </c>
      <c r="E188" t="s">
        <v>18</v>
      </c>
      <c r="F188">
        <v>903</v>
      </c>
      <c r="G188" t="s">
        <v>20</v>
      </c>
      <c r="H188" t="s">
        <v>1096</v>
      </c>
      <c r="I188" t="s">
        <v>1097</v>
      </c>
      <c r="J188" t="s">
        <v>1068</v>
      </c>
      <c r="K188" t="s">
        <v>1098</v>
      </c>
      <c r="L188">
        <v>45.9</v>
      </c>
      <c r="M188" t="s">
        <v>25</v>
      </c>
      <c r="N188" t="s">
        <v>1099</v>
      </c>
      <c r="O188" t="s">
        <v>1040</v>
      </c>
      <c r="P188" t="s">
        <v>28</v>
      </c>
      <c r="Q188" t="s">
        <v>1126</v>
      </c>
    </row>
    <row r="189" spans="1:17">
      <c r="A189">
        <v>155010</v>
      </c>
      <c r="B189" t="s">
        <v>17</v>
      </c>
      <c r="C189" t="s">
        <v>35</v>
      </c>
      <c r="D189" t="s">
        <v>19</v>
      </c>
      <c r="E189" t="s">
        <v>35</v>
      </c>
      <c r="F189">
        <v>729</v>
      </c>
      <c r="G189" t="s">
        <v>20</v>
      </c>
      <c r="H189" t="s">
        <v>1100</v>
      </c>
      <c r="I189" t="s">
        <v>1101</v>
      </c>
      <c r="J189" t="s">
        <v>1102</v>
      </c>
      <c r="K189" t="s">
        <v>1103</v>
      </c>
      <c r="L189">
        <v>45.9</v>
      </c>
      <c r="M189" t="s">
        <v>25</v>
      </c>
      <c r="N189" t="s">
        <v>1104</v>
      </c>
      <c r="O189" t="s">
        <v>1040</v>
      </c>
      <c r="P189" t="s">
        <v>28</v>
      </c>
      <c r="Q189" t="s">
        <v>1126</v>
      </c>
    </row>
    <row r="190" spans="1:17">
      <c r="A190">
        <v>135857</v>
      </c>
      <c r="B190" t="s">
        <v>17</v>
      </c>
      <c r="C190" t="s">
        <v>18</v>
      </c>
      <c r="D190" t="s">
        <v>19</v>
      </c>
      <c r="E190" t="s">
        <v>35</v>
      </c>
      <c r="F190">
        <v>2045</v>
      </c>
      <c r="G190" t="s">
        <v>20</v>
      </c>
      <c r="H190" t="s">
        <v>1105</v>
      </c>
      <c r="I190" t="s">
        <v>1106</v>
      </c>
      <c r="J190" t="s">
        <v>1107</v>
      </c>
      <c r="K190" t="s">
        <v>1108</v>
      </c>
      <c r="L190">
        <v>45.9</v>
      </c>
      <c r="M190" t="s">
        <v>25</v>
      </c>
      <c r="N190" t="s">
        <v>1109</v>
      </c>
      <c r="O190" t="s">
        <v>1040</v>
      </c>
      <c r="P190" t="s">
        <v>28</v>
      </c>
      <c r="Q190" t="s">
        <v>1126</v>
      </c>
    </row>
    <row r="191" spans="1:17">
      <c r="A191">
        <v>147690</v>
      </c>
      <c r="B191" t="s">
        <v>17</v>
      </c>
      <c r="C191" t="s">
        <v>35</v>
      </c>
      <c r="D191" t="s">
        <v>19</v>
      </c>
      <c r="E191" t="s">
        <v>18</v>
      </c>
      <c r="F191">
        <v>881</v>
      </c>
      <c r="G191" t="s">
        <v>20</v>
      </c>
      <c r="H191" t="s">
        <v>1110</v>
      </c>
      <c r="I191" t="s">
        <v>1111</v>
      </c>
      <c r="J191" t="s">
        <v>1112</v>
      </c>
      <c r="K191" t="s">
        <v>1113</v>
      </c>
      <c r="L191">
        <v>39.9</v>
      </c>
      <c r="M191" t="s">
        <v>25</v>
      </c>
      <c r="N191" t="s">
        <v>1114</v>
      </c>
      <c r="O191" t="s">
        <v>1040</v>
      </c>
      <c r="P191" t="s">
        <v>28</v>
      </c>
      <c r="Q191" t="s">
        <v>1126</v>
      </c>
    </row>
    <row r="192" spans="1:17">
      <c r="A192">
        <v>130321</v>
      </c>
      <c r="B192" t="s">
        <v>34</v>
      </c>
      <c r="C192" t="s">
        <v>35</v>
      </c>
      <c r="D192" t="s">
        <v>19</v>
      </c>
      <c r="E192" t="s">
        <v>18</v>
      </c>
      <c r="F192">
        <v>2093</v>
      </c>
      <c r="G192" t="s">
        <v>20</v>
      </c>
      <c r="H192" t="s">
        <v>1115</v>
      </c>
      <c r="I192" t="s">
        <v>1116</v>
      </c>
      <c r="J192" t="s">
        <v>1117</v>
      </c>
      <c r="K192" t="s">
        <v>1118</v>
      </c>
      <c r="L192">
        <v>39.9</v>
      </c>
      <c r="M192" t="s">
        <v>25</v>
      </c>
      <c r="N192" t="s">
        <v>1119</v>
      </c>
      <c r="O192" t="s">
        <v>1040</v>
      </c>
      <c r="P192" t="s">
        <v>28</v>
      </c>
      <c r="Q192" t="s">
        <v>1126</v>
      </c>
    </row>
    <row r="193" spans="1:17">
      <c r="A193">
        <v>196752</v>
      </c>
      <c r="B193" t="s">
        <v>34</v>
      </c>
      <c r="C193" t="s">
        <v>18</v>
      </c>
      <c r="D193" t="s">
        <v>19</v>
      </c>
      <c r="E193" t="s">
        <v>18</v>
      </c>
      <c r="F193">
        <v>2227</v>
      </c>
      <c r="G193" t="s">
        <v>20</v>
      </c>
      <c r="H193" t="s">
        <v>1120</v>
      </c>
      <c r="I193" t="s">
        <v>1121</v>
      </c>
      <c r="J193" t="s">
        <v>1083</v>
      </c>
      <c r="K193" t="s">
        <v>1084</v>
      </c>
      <c r="L193">
        <v>45.9</v>
      </c>
      <c r="M193" t="s">
        <v>25</v>
      </c>
      <c r="N193" t="s">
        <v>1122</v>
      </c>
      <c r="O193" t="s">
        <v>1040</v>
      </c>
      <c r="P193" t="s">
        <v>28</v>
      </c>
      <c r="Q193" t="s">
        <v>1126</v>
      </c>
    </row>
    <row r="194" spans="1:17">
      <c r="A194">
        <v>181011</v>
      </c>
      <c r="B194" t="s">
        <v>17</v>
      </c>
      <c r="C194" t="s">
        <v>35</v>
      </c>
      <c r="D194" t="s">
        <v>19</v>
      </c>
      <c r="E194" t="s">
        <v>35</v>
      </c>
      <c r="F194">
        <v>994</v>
      </c>
      <c r="G194" t="s">
        <v>20</v>
      </c>
      <c r="H194" t="s">
        <v>837</v>
      </c>
      <c r="I194" t="s">
        <v>539</v>
      </c>
      <c r="J194" t="s">
        <v>79</v>
      </c>
      <c r="K194" t="s">
        <v>684</v>
      </c>
      <c r="L194">
        <v>89.9</v>
      </c>
      <c r="M194" t="s">
        <v>25</v>
      </c>
      <c r="N194" t="s">
        <v>789</v>
      </c>
      <c r="O194" t="s">
        <v>641</v>
      </c>
      <c r="P194" t="s">
        <v>28</v>
      </c>
      <c r="Q194" t="s">
        <v>1125</v>
      </c>
    </row>
    <row r="195" spans="1:17">
      <c r="A195">
        <v>139967</v>
      </c>
      <c r="B195" t="s">
        <v>34</v>
      </c>
      <c r="C195" t="s">
        <v>18</v>
      </c>
      <c r="D195" t="s">
        <v>19</v>
      </c>
      <c r="E195" t="s">
        <v>18</v>
      </c>
      <c r="F195">
        <v>2634</v>
      </c>
      <c r="G195" t="s">
        <v>20</v>
      </c>
      <c r="H195" t="s">
        <v>842</v>
      </c>
      <c r="I195" t="s">
        <v>544</v>
      </c>
      <c r="J195" t="s">
        <v>84</v>
      </c>
      <c r="K195" t="s">
        <v>900</v>
      </c>
      <c r="L195">
        <v>69.900000000000006</v>
      </c>
      <c r="M195" t="s">
        <v>25</v>
      </c>
      <c r="N195" t="s">
        <v>796</v>
      </c>
      <c r="O195" t="s">
        <v>1040</v>
      </c>
      <c r="P195" t="s">
        <v>28</v>
      </c>
      <c r="Q195" t="s">
        <v>1125</v>
      </c>
    </row>
    <row r="196" spans="1:17">
      <c r="A196">
        <v>162699</v>
      </c>
      <c r="B196" t="s">
        <v>34</v>
      </c>
      <c r="C196" t="s">
        <v>18</v>
      </c>
      <c r="D196" t="s">
        <v>19</v>
      </c>
      <c r="E196" t="s">
        <v>35</v>
      </c>
      <c r="F196">
        <v>2732</v>
      </c>
      <c r="G196" t="s">
        <v>20</v>
      </c>
      <c r="H196" t="s">
        <v>847</v>
      </c>
      <c r="I196" t="s">
        <v>548</v>
      </c>
      <c r="J196" t="s">
        <v>89</v>
      </c>
      <c r="K196" t="s">
        <v>810</v>
      </c>
      <c r="L196">
        <v>89.9</v>
      </c>
      <c r="M196" t="s">
        <v>25</v>
      </c>
      <c r="N196" t="s">
        <v>801</v>
      </c>
      <c r="O196" t="s">
        <v>790</v>
      </c>
      <c r="P196" t="s">
        <v>28</v>
      </c>
      <c r="Q196" t="s">
        <v>1125</v>
      </c>
    </row>
    <row r="197" spans="1:17">
      <c r="A197">
        <v>119044</v>
      </c>
      <c r="B197" t="s">
        <v>17</v>
      </c>
      <c r="C197" t="s">
        <v>18</v>
      </c>
      <c r="D197" t="s">
        <v>19</v>
      </c>
      <c r="E197" t="s">
        <v>35</v>
      </c>
      <c r="F197">
        <v>1140</v>
      </c>
      <c r="G197" t="s">
        <v>20</v>
      </c>
      <c r="H197" t="s">
        <v>852</v>
      </c>
      <c r="I197" t="s">
        <v>553</v>
      </c>
      <c r="J197" t="s">
        <v>94</v>
      </c>
      <c r="K197" t="s">
        <v>577</v>
      </c>
      <c r="L197">
        <v>169</v>
      </c>
      <c r="M197" t="s">
        <v>25</v>
      </c>
      <c r="N197" t="s">
        <v>806</v>
      </c>
      <c r="O197" t="s">
        <v>790</v>
      </c>
      <c r="P197" t="s">
        <v>28</v>
      </c>
      <c r="Q197" t="s">
        <v>1125</v>
      </c>
    </row>
    <row r="198" spans="1:17">
      <c r="A198">
        <v>121348</v>
      </c>
      <c r="B198" t="s">
        <v>34</v>
      </c>
      <c r="C198" t="s">
        <v>18</v>
      </c>
      <c r="D198" t="s">
        <v>19</v>
      </c>
      <c r="E198" t="s">
        <v>35</v>
      </c>
      <c r="F198">
        <v>1008</v>
      </c>
      <c r="G198" t="s">
        <v>20</v>
      </c>
      <c r="H198" t="s">
        <v>857</v>
      </c>
      <c r="I198" t="s">
        <v>557</v>
      </c>
      <c r="J198" t="s">
        <v>99</v>
      </c>
      <c r="K198" t="s">
        <v>582</v>
      </c>
      <c r="L198">
        <v>169</v>
      </c>
      <c r="M198" t="s">
        <v>25</v>
      </c>
      <c r="N198" t="s">
        <v>811</v>
      </c>
      <c r="O198" t="s">
        <v>1040</v>
      </c>
      <c r="P198" t="s">
        <v>28</v>
      </c>
      <c r="Q198" t="s">
        <v>1125</v>
      </c>
    </row>
    <row r="199" spans="1:17">
      <c r="A199">
        <v>163982</v>
      </c>
      <c r="B199" t="s">
        <v>56</v>
      </c>
      <c r="C199" t="s">
        <v>18</v>
      </c>
      <c r="D199" t="s">
        <v>19</v>
      </c>
      <c r="E199" t="s">
        <v>18</v>
      </c>
      <c r="F199">
        <v>2685</v>
      </c>
      <c r="G199" t="s">
        <v>20</v>
      </c>
      <c r="H199" t="s">
        <v>862</v>
      </c>
      <c r="I199" t="s">
        <v>562</v>
      </c>
      <c r="J199" t="s">
        <v>104</v>
      </c>
      <c r="K199" t="s">
        <v>586</v>
      </c>
      <c r="L199">
        <v>69.900000000000006</v>
      </c>
      <c r="M199" t="s">
        <v>25</v>
      </c>
      <c r="N199" t="s">
        <v>816</v>
      </c>
      <c r="O199" t="s">
        <v>1040</v>
      </c>
      <c r="P199" t="s">
        <v>28</v>
      </c>
      <c r="Q199" t="s">
        <v>1125</v>
      </c>
    </row>
    <row r="200" spans="1:17">
      <c r="A200">
        <v>185774</v>
      </c>
      <c r="B200" t="s">
        <v>34</v>
      </c>
      <c r="C200" t="s">
        <v>35</v>
      </c>
      <c r="D200" t="s">
        <v>19</v>
      </c>
      <c r="E200" t="s">
        <v>35</v>
      </c>
      <c r="F200">
        <v>1145</v>
      </c>
      <c r="G200" t="s">
        <v>20</v>
      </c>
      <c r="H200" t="s">
        <v>867</v>
      </c>
      <c r="I200" t="s">
        <v>567</v>
      </c>
      <c r="J200" t="s">
        <v>109</v>
      </c>
      <c r="K200" t="s">
        <v>590</v>
      </c>
      <c r="L200">
        <v>19.989999999999998</v>
      </c>
      <c r="M200" t="s">
        <v>25</v>
      </c>
      <c r="N200" t="s">
        <v>821</v>
      </c>
      <c r="O200" t="s">
        <v>1040</v>
      </c>
      <c r="P200" t="s">
        <v>28</v>
      </c>
      <c r="Q200" t="s">
        <v>1124</v>
      </c>
    </row>
    <row r="201" spans="1:17">
      <c r="A201">
        <v>144651</v>
      </c>
      <c r="B201" t="s">
        <v>17</v>
      </c>
      <c r="C201" t="s">
        <v>35</v>
      </c>
      <c r="D201" t="s">
        <v>19</v>
      </c>
      <c r="E201" t="s">
        <v>18</v>
      </c>
      <c r="F201">
        <v>1791</v>
      </c>
      <c r="G201" t="s">
        <v>20</v>
      </c>
      <c r="H201" t="s">
        <v>872</v>
      </c>
      <c r="I201" t="s">
        <v>571</v>
      </c>
      <c r="J201" t="s">
        <v>114</v>
      </c>
      <c r="K201" t="s">
        <v>595</v>
      </c>
      <c r="L201">
        <v>139</v>
      </c>
      <c r="M201" t="s">
        <v>25</v>
      </c>
      <c r="N201" t="s">
        <v>826</v>
      </c>
      <c r="O201" t="s">
        <v>1040</v>
      </c>
      <c r="P201" t="s">
        <v>28</v>
      </c>
      <c r="Q201" t="s">
        <v>1125</v>
      </c>
    </row>
    <row r="202" spans="1:17">
      <c r="A202">
        <v>195103</v>
      </c>
      <c r="B202" t="s">
        <v>17</v>
      </c>
      <c r="C202" t="s">
        <v>35</v>
      </c>
      <c r="D202" t="s">
        <v>19</v>
      </c>
      <c r="E202" t="s">
        <v>18</v>
      </c>
      <c r="F202">
        <v>2849</v>
      </c>
      <c r="G202" t="s">
        <v>20</v>
      </c>
      <c r="H202" t="s">
        <v>877</v>
      </c>
      <c r="I202" t="s">
        <v>576</v>
      </c>
      <c r="J202" t="s">
        <v>119</v>
      </c>
      <c r="K202" t="s">
        <v>179</v>
      </c>
      <c r="L202">
        <v>109</v>
      </c>
      <c r="M202" t="s">
        <v>25</v>
      </c>
      <c r="N202" t="s">
        <v>831</v>
      </c>
      <c r="O202" t="s">
        <v>1040</v>
      </c>
      <c r="P202" t="s">
        <v>28</v>
      </c>
      <c r="Q202" t="s">
        <v>1125</v>
      </c>
    </row>
    <row r="203" spans="1:17">
      <c r="A203">
        <v>123047</v>
      </c>
      <c r="B203" t="s">
        <v>17</v>
      </c>
      <c r="C203" t="s">
        <v>18</v>
      </c>
      <c r="D203" t="s">
        <v>19</v>
      </c>
      <c r="E203" t="s">
        <v>35</v>
      </c>
      <c r="F203">
        <v>2985</v>
      </c>
      <c r="G203" t="s">
        <v>20</v>
      </c>
      <c r="H203" t="s">
        <v>882</v>
      </c>
      <c r="I203" t="s">
        <v>580</v>
      </c>
      <c r="J203" t="s">
        <v>64</v>
      </c>
      <c r="K203" t="s">
        <v>395</v>
      </c>
      <c r="L203">
        <v>109</v>
      </c>
      <c r="M203" t="s">
        <v>25</v>
      </c>
      <c r="N203" t="s">
        <v>836</v>
      </c>
      <c r="O203" t="s">
        <v>1040</v>
      </c>
      <c r="P203" t="s">
        <v>28</v>
      </c>
      <c r="Q203" t="s">
        <v>1125</v>
      </c>
    </row>
    <row r="204" spans="1:17">
      <c r="A204">
        <v>123077</v>
      </c>
      <c r="B204" t="s">
        <v>56</v>
      </c>
      <c r="C204" t="s">
        <v>18</v>
      </c>
      <c r="D204" t="s">
        <v>19</v>
      </c>
      <c r="E204" t="s">
        <v>18</v>
      </c>
      <c r="F204">
        <v>1603</v>
      </c>
      <c r="G204" t="s">
        <v>20</v>
      </c>
      <c r="H204" t="s">
        <v>887</v>
      </c>
      <c r="I204" t="s">
        <v>585</v>
      </c>
      <c r="J204" t="s">
        <v>128</v>
      </c>
      <c r="K204" t="s">
        <v>399</v>
      </c>
      <c r="L204">
        <v>109</v>
      </c>
      <c r="M204" t="s">
        <v>25</v>
      </c>
      <c r="N204" t="s">
        <v>841</v>
      </c>
      <c r="O204" t="s">
        <v>1040</v>
      </c>
      <c r="P204" t="s">
        <v>28</v>
      </c>
      <c r="Q204" t="s">
        <v>1125</v>
      </c>
    </row>
    <row r="205" spans="1:17">
      <c r="A205">
        <v>171860</v>
      </c>
      <c r="B205" t="s">
        <v>17</v>
      </c>
      <c r="C205" t="s">
        <v>35</v>
      </c>
      <c r="D205" t="s">
        <v>19</v>
      </c>
      <c r="E205" t="s">
        <v>18</v>
      </c>
      <c r="F205">
        <v>707</v>
      </c>
      <c r="G205" t="s">
        <v>20</v>
      </c>
      <c r="H205" t="s">
        <v>892</v>
      </c>
      <c r="I205" t="s">
        <v>589</v>
      </c>
      <c r="J205" t="s">
        <v>133</v>
      </c>
      <c r="K205" t="s">
        <v>404</v>
      </c>
      <c r="L205">
        <v>109</v>
      </c>
      <c r="M205" t="s">
        <v>25</v>
      </c>
      <c r="N205" t="s">
        <v>846</v>
      </c>
      <c r="O205" t="s">
        <v>1040</v>
      </c>
      <c r="P205" t="s">
        <v>28</v>
      </c>
      <c r="Q205" t="s">
        <v>1125</v>
      </c>
    </row>
    <row r="206" spans="1:17">
      <c r="A206">
        <v>149487</v>
      </c>
      <c r="B206" t="s">
        <v>17</v>
      </c>
      <c r="C206" t="s">
        <v>18</v>
      </c>
      <c r="D206" t="s">
        <v>19</v>
      </c>
      <c r="E206" t="s">
        <v>35</v>
      </c>
      <c r="F206">
        <v>1258</v>
      </c>
      <c r="G206" t="s">
        <v>20</v>
      </c>
      <c r="H206" t="s">
        <v>897</v>
      </c>
      <c r="I206" t="s">
        <v>593</v>
      </c>
      <c r="J206" t="s">
        <v>138</v>
      </c>
      <c r="K206" t="s">
        <v>409</v>
      </c>
      <c r="L206">
        <v>99.9</v>
      </c>
      <c r="M206" t="s">
        <v>25</v>
      </c>
      <c r="N206" t="s">
        <v>851</v>
      </c>
      <c r="O206" t="s">
        <v>1040</v>
      </c>
      <c r="P206" t="s">
        <v>28</v>
      </c>
      <c r="Q206" t="s">
        <v>1125</v>
      </c>
    </row>
    <row r="207" spans="1:17">
      <c r="A207">
        <v>168516</v>
      </c>
      <c r="B207" t="s">
        <v>56</v>
      </c>
      <c r="C207" t="s">
        <v>35</v>
      </c>
      <c r="D207" t="s">
        <v>19</v>
      </c>
      <c r="E207" t="s">
        <v>18</v>
      </c>
      <c r="F207">
        <v>2168</v>
      </c>
      <c r="G207" t="s">
        <v>20</v>
      </c>
      <c r="H207" t="s">
        <v>902</v>
      </c>
      <c r="I207" t="s">
        <v>598</v>
      </c>
      <c r="J207" t="s">
        <v>143</v>
      </c>
      <c r="K207" t="s">
        <v>414</v>
      </c>
      <c r="L207">
        <v>89.9</v>
      </c>
      <c r="M207" t="s">
        <v>25</v>
      </c>
      <c r="N207" t="s">
        <v>856</v>
      </c>
      <c r="O207" t="s">
        <v>1040</v>
      </c>
      <c r="P207" t="s">
        <v>28</v>
      </c>
      <c r="Q207" t="s">
        <v>1125</v>
      </c>
    </row>
    <row r="208" spans="1:17">
      <c r="A208">
        <v>177771</v>
      </c>
      <c r="B208" t="s">
        <v>34</v>
      </c>
      <c r="C208" t="s">
        <v>35</v>
      </c>
      <c r="D208" t="s">
        <v>19</v>
      </c>
      <c r="E208" t="s">
        <v>35</v>
      </c>
      <c r="F208">
        <v>1764</v>
      </c>
      <c r="G208" t="s">
        <v>20</v>
      </c>
      <c r="H208" t="s">
        <v>907</v>
      </c>
      <c r="I208" t="s">
        <v>603</v>
      </c>
      <c r="J208" t="s">
        <v>148</v>
      </c>
      <c r="K208" t="s">
        <v>419</v>
      </c>
      <c r="L208">
        <v>69.900000000000006</v>
      </c>
      <c r="M208" t="s">
        <v>25</v>
      </c>
      <c r="N208" t="s">
        <v>861</v>
      </c>
      <c r="O208" t="s">
        <v>1040</v>
      </c>
      <c r="P208" t="s">
        <v>28</v>
      </c>
      <c r="Q208" t="s">
        <v>1125</v>
      </c>
    </row>
    <row r="209" spans="1:17">
      <c r="A209">
        <v>172015</v>
      </c>
      <c r="B209" t="s">
        <v>34</v>
      </c>
      <c r="C209" t="s">
        <v>35</v>
      </c>
      <c r="D209" t="s">
        <v>19</v>
      </c>
      <c r="E209" t="s">
        <v>35</v>
      </c>
      <c r="F209">
        <v>2622</v>
      </c>
      <c r="G209" t="s">
        <v>20</v>
      </c>
      <c r="H209" t="s">
        <v>912</v>
      </c>
      <c r="I209" t="s">
        <v>608</v>
      </c>
      <c r="J209" t="s">
        <v>153</v>
      </c>
      <c r="K209" t="s">
        <v>424</v>
      </c>
      <c r="L209">
        <v>139</v>
      </c>
      <c r="M209" t="s">
        <v>25</v>
      </c>
      <c r="N209" t="s">
        <v>866</v>
      </c>
      <c r="O209" t="s">
        <v>1040</v>
      </c>
      <c r="P209" t="s">
        <v>28</v>
      </c>
      <c r="Q209" t="s">
        <v>1125</v>
      </c>
    </row>
    <row r="210" spans="1:17">
      <c r="A210">
        <v>118985</v>
      </c>
      <c r="B210" t="s">
        <v>17</v>
      </c>
      <c r="C210" t="s">
        <v>18</v>
      </c>
      <c r="D210" t="s">
        <v>19</v>
      </c>
      <c r="E210" t="s">
        <v>35</v>
      </c>
      <c r="F210">
        <v>694</v>
      </c>
      <c r="G210" t="s">
        <v>20</v>
      </c>
      <c r="H210" t="s">
        <v>917</v>
      </c>
      <c r="I210" t="s">
        <v>613</v>
      </c>
      <c r="J210" t="s">
        <v>158</v>
      </c>
      <c r="K210" t="s">
        <v>429</v>
      </c>
      <c r="L210">
        <v>139</v>
      </c>
      <c r="M210" t="s">
        <v>25</v>
      </c>
      <c r="N210" t="s">
        <v>871</v>
      </c>
      <c r="O210" t="s">
        <v>1040</v>
      </c>
      <c r="P210" t="s">
        <v>28</v>
      </c>
      <c r="Q210" t="s">
        <v>1125</v>
      </c>
    </row>
    <row r="211" spans="1:17">
      <c r="A211">
        <v>112194</v>
      </c>
      <c r="B211" t="s">
        <v>17</v>
      </c>
      <c r="C211" t="s">
        <v>35</v>
      </c>
      <c r="D211" t="s">
        <v>19</v>
      </c>
      <c r="E211" t="s">
        <v>35</v>
      </c>
      <c r="F211">
        <v>2187</v>
      </c>
      <c r="G211" t="s">
        <v>20</v>
      </c>
      <c r="H211" t="s">
        <v>922</v>
      </c>
      <c r="I211" t="s">
        <v>618</v>
      </c>
      <c r="J211" t="s">
        <v>163</v>
      </c>
      <c r="K211" t="s">
        <v>159</v>
      </c>
      <c r="L211">
        <v>109</v>
      </c>
      <c r="M211" t="s">
        <v>25</v>
      </c>
      <c r="N211" t="s">
        <v>876</v>
      </c>
      <c r="O211" t="s">
        <v>27</v>
      </c>
      <c r="P211" t="s">
        <v>28</v>
      </c>
      <c r="Q211" t="s">
        <v>1125</v>
      </c>
    </row>
    <row r="212" spans="1:17">
      <c r="A212">
        <v>113435</v>
      </c>
      <c r="B212" t="s">
        <v>17</v>
      </c>
      <c r="C212" t="s">
        <v>18</v>
      </c>
      <c r="D212" t="s">
        <v>19</v>
      </c>
      <c r="E212" t="s">
        <v>35</v>
      </c>
      <c r="F212">
        <v>2973</v>
      </c>
      <c r="G212" t="s">
        <v>20</v>
      </c>
      <c r="H212" t="s">
        <v>927</v>
      </c>
      <c r="I212" t="s">
        <v>623</v>
      </c>
      <c r="J212" t="s">
        <v>168</v>
      </c>
      <c r="K212" t="s">
        <v>164</v>
      </c>
      <c r="L212">
        <v>129</v>
      </c>
      <c r="M212" t="s">
        <v>25</v>
      </c>
      <c r="N212" t="s">
        <v>881</v>
      </c>
      <c r="O212" t="s">
        <v>27</v>
      </c>
      <c r="P212" t="s">
        <v>28</v>
      </c>
      <c r="Q212" t="s">
        <v>1125</v>
      </c>
    </row>
    <row r="213" spans="1:17">
      <c r="A213">
        <v>159182</v>
      </c>
      <c r="B213" t="s">
        <v>56</v>
      </c>
      <c r="C213" t="s">
        <v>35</v>
      </c>
      <c r="D213" t="s">
        <v>19</v>
      </c>
      <c r="E213" t="s">
        <v>18</v>
      </c>
      <c r="F213">
        <v>1014</v>
      </c>
      <c r="G213" t="s">
        <v>20</v>
      </c>
      <c r="H213" t="s">
        <v>932</v>
      </c>
      <c r="I213" t="s">
        <v>628</v>
      </c>
      <c r="J213" t="s">
        <v>173</v>
      </c>
      <c r="K213" t="s">
        <v>169</v>
      </c>
      <c r="L213">
        <v>169</v>
      </c>
      <c r="M213" t="s">
        <v>25</v>
      </c>
      <c r="N213" t="s">
        <v>886</v>
      </c>
      <c r="O213" t="s">
        <v>27</v>
      </c>
      <c r="P213" t="s">
        <v>28</v>
      </c>
      <c r="Q213" t="s">
        <v>1125</v>
      </c>
    </row>
    <row r="214" spans="1:17">
      <c r="A214">
        <v>199233</v>
      </c>
      <c r="B214" t="s">
        <v>17</v>
      </c>
      <c r="C214" t="s">
        <v>35</v>
      </c>
      <c r="D214" t="s">
        <v>19</v>
      </c>
      <c r="E214" t="s">
        <v>18</v>
      </c>
      <c r="F214">
        <v>2222</v>
      </c>
      <c r="G214" t="s">
        <v>20</v>
      </c>
      <c r="H214" t="s">
        <v>937</v>
      </c>
      <c r="I214" t="s">
        <v>633</v>
      </c>
      <c r="J214" t="s">
        <v>178</v>
      </c>
      <c r="K214" t="s">
        <v>174</v>
      </c>
      <c r="L214">
        <v>159</v>
      </c>
      <c r="M214" t="s">
        <v>25</v>
      </c>
      <c r="N214" t="s">
        <v>891</v>
      </c>
      <c r="O214" t="s">
        <v>27</v>
      </c>
      <c r="P214" t="s">
        <v>28</v>
      </c>
      <c r="Q214" t="s">
        <v>1125</v>
      </c>
    </row>
    <row r="215" spans="1:17">
      <c r="A215">
        <v>137044</v>
      </c>
      <c r="B215" t="s">
        <v>17</v>
      </c>
      <c r="C215" t="s">
        <v>18</v>
      </c>
      <c r="D215" t="s">
        <v>19</v>
      </c>
      <c r="E215" t="s">
        <v>35</v>
      </c>
      <c r="F215">
        <v>2534</v>
      </c>
      <c r="G215" t="s">
        <v>20</v>
      </c>
      <c r="H215" t="s">
        <v>451</v>
      </c>
      <c r="I215" t="s">
        <v>637</v>
      </c>
      <c r="J215" t="s">
        <v>158</v>
      </c>
      <c r="K215" t="s">
        <v>179</v>
      </c>
      <c r="L215">
        <v>12.99</v>
      </c>
      <c r="M215" t="s">
        <v>25</v>
      </c>
      <c r="N215" t="s">
        <v>896</v>
      </c>
      <c r="O215" t="s">
        <v>27</v>
      </c>
      <c r="P215" t="s">
        <v>28</v>
      </c>
      <c r="Q215" t="s">
        <v>1124</v>
      </c>
    </row>
    <row r="216" spans="1:17">
      <c r="A216">
        <v>154736</v>
      </c>
      <c r="B216" t="s">
        <v>56</v>
      </c>
      <c r="C216" t="s">
        <v>35</v>
      </c>
      <c r="D216" t="s">
        <v>19</v>
      </c>
      <c r="E216" t="s">
        <v>35</v>
      </c>
      <c r="F216">
        <v>1466</v>
      </c>
      <c r="G216" t="s">
        <v>20</v>
      </c>
      <c r="H216" t="s">
        <v>456</v>
      </c>
      <c r="I216" t="s">
        <v>643</v>
      </c>
      <c r="J216" t="s">
        <v>187</v>
      </c>
      <c r="K216" t="s">
        <v>183</v>
      </c>
      <c r="L216">
        <v>19.899999999999999</v>
      </c>
      <c r="M216" t="s">
        <v>25</v>
      </c>
      <c r="N216" t="s">
        <v>901</v>
      </c>
      <c r="O216" t="s">
        <v>27</v>
      </c>
      <c r="P216" t="s">
        <v>28</v>
      </c>
      <c r="Q216" t="s">
        <v>1124</v>
      </c>
    </row>
    <row r="217" spans="1:17">
      <c r="A217">
        <v>141434</v>
      </c>
      <c r="B217" t="s">
        <v>56</v>
      </c>
      <c r="C217" t="s">
        <v>18</v>
      </c>
      <c r="D217" t="s">
        <v>19</v>
      </c>
      <c r="E217" t="s">
        <v>35</v>
      </c>
      <c r="F217">
        <v>2870</v>
      </c>
      <c r="G217" t="s">
        <v>20</v>
      </c>
      <c r="H217" t="s">
        <v>461</v>
      </c>
      <c r="I217" t="s">
        <v>648</v>
      </c>
      <c r="J217" t="s">
        <v>59</v>
      </c>
      <c r="K217" t="s">
        <v>188</v>
      </c>
      <c r="L217">
        <v>39.9</v>
      </c>
      <c r="M217" t="s">
        <v>25</v>
      </c>
      <c r="N217" t="s">
        <v>1123</v>
      </c>
      <c r="O217" t="s">
        <v>27</v>
      </c>
      <c r="P217" t="s">
        <v>28</v>
      </c>
      <c r="Q217" t="s">
        <v>1126</v>
      </c>
    </row>
    <row r="218" spans="1:17">
      <c r="A218">
        <v>188909</v>
      </c>
      <c r="B218" t="s">
        <v>17</v>
      </c>
      <c r="C218" t="s">
        <v>35</v>
      </c>
      <c r="D218" t="s">
        <v>19</v>
      </c>
      <c r="E218" t="s">
        <v>35</v>
      </c>
      <c r="F218">
        <v>2863</v>
      </c>
      <c r="G218" t="s">
        <v>20</v>
      </c>
      <c r="H218" t="s">
        <v>785</v>
      </c>
      <c r="I218" t="s">
        <v>786</v>
      </c>
      <c r="J218" t="s">
        <v>787</v>
      </c>
      <c r="K218" t="s">
        <v>788</v>
      </c>
      <c r="L218">
        <v>39.9</v>
      </c>
      <c r="M218" t="s">
        <v>25</v>
      </c>
      <c r="N218" t="s">
        <v>789</v>
      </c>
      <c r="O218" t="s">
        <v>790</v>
      </c>
      <c r="P218" t="s">
        <v>791</v>
      </c>
      <c r="Q218" t="s">
        <v>1126</v>
      </c>
    </row>
    <row r="219" spans="1:17">
      <c r="A219">
        <v>165910</v>
      </c>
      <c r="B219" t="s">
        <v>34</v>
      </c>
      <c r="C219" t="s">
        <v>35</v>
      </c>
      <c r="D219" t="s">
        <v>19</v>
      </c>
      <c r="E219" t="s">
        <v>18</v>
      </c>
      <c r="F219">
        <v>2760</v>
      </c>
      <c r="G219" t="s">
        <v>20</v>
      </c>
      <c r="H219" t="s">
        <v>792</v>
      </c>
      <c r="I219" t="s">
        <v>793</v>
      </c>
      <c r="J219" t="s">
        <v>794</v>
      </c>
      <c r="K219" t="s">
        <v>795</v>
      </c>
      <c r="L219">
        <v>69.900000000000006</v>
      </c>
      <c r="M219" t="s">
        <v>25</v>
      </c>
      <c r="N219" t="s">
        <v>796</v>
      </c>
      <c r="O219" t="s">
        <v>790</v>
      </c>
      <c r="P219" t="s">
        <v>791</v>
      </c>
      <c r="Q219" t="s">
        <v>1125</v>
      </c>
    </row>
    <row r="220" spans="1:17">
      <c r="A220">
        <v>136738</v>
      </c>
      <c r="B220" t="s">
        <v>56</v>
      </c>
      <c r="C220" t="s">
        <v>18</v>
      </c>
      <c r="D220" t="s">
        <v>19</v>
      </c>
      <c r="E220" t="s">
        <v>35</v>
      </c>
      <c r="F220">
        <v>542</v>
      </c>
      <c r="G220" t="s">
        <v>20</v>
      </c>
      <c r="H220" t="s">
        <v>797</v>
      </c>
      <c r="I220" t="s">
        <v>798</v>
      </c>
      <c r="J220" t="s">
        <v>799</v>
      </c>
      <c r="K220" t="s">
        <v>800</v>
      </c>
      <c r="L220">
        <v>7.99</v>
      </c>
      <c r="M220" t="s">
        <v>25</v>
      </c>
      <c r="N220" t="s">
        <v>801</v>
      </c>
      <c r="O220" t="s">
        <v>790</v>
      </c>
      <c r="P220" t="s">
        <v>791</v>
      </c>
      <c r="Q220" t="s">
        <v>1124</v>
      </c>
    </row>
    <row r="221" spans="1:17">
      <c r="A221">
        <v>144497</v>
      </c>
      <c r="B221" t="s">
        <v>34</v>
      </c>
      <c r="C221" t="s">
        <v>35</v>
      </c>
      <c r="D221" t="s">
        <v>19</v>
      </c>
      <c r="E221" t="s">
        <v>35</v>
      </c>
      <c r="F221">
        <v>1105</v>
      </c>
      <c r="G221" t="s">
        <v>20</v>
      </c>
      <c r="H221" t="s">
        <v>802</v>
      </c>
      <c r="I221" t="s">
        <v>803</v>
      </c>
      <c r="J221" t="s">
        <v>804</v>
      </c>
      <c r="K221" t="s">
        <v>805</v>
      </c>
      <c r="L221">
        <v>49.9</v>
      </c>
      <c r="M221" t="s">
        <v>25</v>
      </c>
      <c r="N221" t="s">
        <v>806</v>
      </c>
      <c r="O221" t="s">
        <v>790</v>
      </c>
      <c r="P221" t="s">
        <v>791</v>
      </c>
      <c r="Q221" t="s">
        <v>1126</v>
      </c>
    </row>
    <row r="222" spans="1:17">
      <c r="A222">
        <v>135036</v>
      </c>
      <c r="B222" t="s">
        <v>34</v>
      </c>
      <c r="C222" t="s">
        <v>35</v>
      </c>
      <c r="D222" t="s">
        <v>19</v>
      </c>
      <c r="E222" t="s">
        <v>18</v>
      </c>
      <c r="F222">
        <v>1435</v>
      </c>
      <c r="G222" t="s">
        <v>20</v>
      </c>
      <c r="H222" t="s">
        <v>807</v>
      </c>
      <c r="I222" t="s">
        <v>808</v>
      </c>
      <c r="J222" t="s">
        <v>809</v>
      </c>
      <c r="K222" t="s">
        <v>810</v>
      </c>
      <c r="L222">
        <v>49.9</v>
      </c>
      <c r="M222" t="s">
        <v>25</v>
      </c>
      <c r="N222" t="s">
        <v>811</v>
      </c>
      <c r="O222" t="s">
        <v>790</v>
      </c>
      <c r="P222" t="s">
        <v>791</v>
      </c>
      <c r="Q222" t="s">
        <v>1126</v>
      </c>
    </row>
    <row r="223" spans="1:17">
      <c r="A223">
        <v>166331</v>
      </c>
      <c r="B223" t="s">
        <v>17</v>
      </c>
      <c r="C223" t="s">
        <v>35</v>
      </c>
      <c r="D223" t="s">
        <v>19</v>
      </c>
      <c r="E223" t="s">
        <v>35</v>
      </c>
      <c r="F223">
        <v>2877</v>
      </c>
      <c r="G223" t="s">
        <v>20</v>
      </c>
      <c r="H223" t="s">
        <v>812</v>
      </c>
      <c r="I223" t="s">
        <v>813</v>
      </c>
      <c r="J223" t="s">
        <v>814</v>
      </c>
      <c r="K223" t="s">
        <v>815</v>
      </c>
      <c r="L223">
        <v>59.9</v>
      </c>
      <c r="M223" t="s">
        <v>25</v>
      </c>
      <c r="N223" t="s">
        <v>816</v>
      </c>
      <c r="O223" t="s">
        <v>790</v>
      </c>
      <c r="P223" t="s">
        <v>791</v>
      </c>
      <c r="Q223" t="s">
        <v>1125</v>
      </c>
    </row>
    <row r="224" spans="1:17">
      <c r="A224">
        <v>139789</v>
      </c>
      <c r="B224" t="s">
        <v>17</v>
      </c>
      <c r="C224" t="s">
        <v>18</v>
      </c>
      <c r="D224" t="s">
        <v>19</v>
      </c>
      <c r="E224" t="s">
        <v>35</v>
      </c>
      <c r="F224">
        <v>1094</v>
      </c>
      <c r="G224" t="s">
        <v>20</v>
      </c>
      <c r="H224" t="s">
        <v>817</v>
      </c>
      <c r="I224" t="s">
        <v>818</v>
      </c>
      <c r="J224" t="s">
        <v>819</v>
      </c>
      <c r="K224" t="s">
        <v>820</v>
      </c>
      <c r="L224">
        <v>69.900000000000006</v>
      </c>
      <c r="M224" t="s">
        <v>25</v>
      </c>
      <c r="N224" t="s">
        <v>821</v>
      </c>
      <c r="O224" t="s">
        <v>790</v>
      </c>
      <c r="P224" t="s">
        <v>791</v>
      </c>
      <c r="Q224" t="s">
        <v>1125</v>
      </c>
    </row>
    <row r="225" spans="1:17">
      <c r="A225">
        <v>118569</v>
      </c>
      <c r="B225" t="s">
        <v>17</v>
      </c>
      <c r="C225" t="s">
        <v>18</v>
      </c>
      <c r="D225" t="s">
        <v>19</v>
      </c>
      <c r="E225" t="s">
        <v>35</v>
      </c>
      <c r="F225">
        <v>994</v>
      </c>
      <c r="G225" t="s">
        <v>20</v>
      </c>
      <c r="H225" t="s">
        <v>822</v>
      </c>
      <c r="I225" t="s">
        <v>823</v>
      </c>
      <c r="J225" t="s">
        <v>824</v>
      </c>
      <c r="K225" t="s">
        <v>825</v>
      </c>
      <c r="L225">
        <v>49.9</v>
      </c>
      <c r="M225" t="s">
        <v>25</v>
      </c>
      <c r="N225" t="s">
        <v>826</v>
      </c>
      <c r="O225" t="s">
        <v>790</v>
      </c>
      <c r="P225" t="s">
        <v>791</v>
      </c>
      <c r="Q225" t="s">
        <v>1126</v>
      </c>
    </row>
    <row r="226" spans="1:17">
      <c r="A226">
        <v>155848</v>
      </c>
      <c r="B226" t="s">
        <v>34</v>
      </c>
      <c r="C226" t="s">
        <v>35</v>
      </c>
      <c r="D226" t="s">
        <v>19</v>
      </c>
      <c r="E226" t="s">
        <v>18</v>
      </c>
      <c r="F226">
        <v>1942</v>
      </c>
      <c r="G226" t="s">
        <v>20</v>
      </c>
      <c r="H226" t="s">
        <v>827</v>
      </c>
      <c r="I226" t="s">
        <v>828</v>
      </c>
      <c r="J226" t="s">
        <v>829</v>
      </c>
      <c r="K226" t="s">
        <v>830</v>
      </c>
      <c r="L226">
        <v>49.9</v>
      </c>
      <c r="M226" t="s">
        <v>25</v>
      </c>
      <c r="N226" t="s">
        <v>831</v>
      </c>
      <c r="O226" t="s">
        <v>790</v>
      </c>
      <c r="P226" t="s">
        <v>791</v>
      </c>
      <c r="Q226" t="s">
        <v>1126</v>
      </c>
    </row>
    <row r="227" spans="1:17">
      <c r="A227">
        <v>152563</v>
      </c>
      <c r="B227" t="s">
        <v>56</v>
      </c>
      <c r="C227" t="s">
        <v>18</v>
      </c>
      <c r="D227" t="s">
        <v>19</v>
      </c>
      <c r="E227" t="s">
        <v>35</v>
      </c>
      <c r="F227">
        <v>2572</v>
      </c>
      <c r="G227" t="s">
        <v>20</v>
      </c>
      <c r="H227" t="s">
        <v>832</v>
      </c>
      <c r="I227" t="s">
        <v>833</v>
      </c>
      <c r="J227" t="s">
        <v>834</v>
      </c>
      <c r="K227" t="s">
        <v>835</v>
      </c>
      <c r="L227">
        <v>169</v>
      </c>
      <c r="M227" t="s">
        <v>25</v>
      </c>
      <c r="N227" t="s">
        <v>836</v>
      </c>
      <c r="O227" t="s">
        <v>790</v>
      </c>
      <c r="P227" t="s">
        <v>791</v>
      </c>
      <c r="Q227" t="s">
        <v>1125</v>
      </c>
    </row>
    <row r="228" spans="1:17">
      <c r="A228">
        <v>115153</v>
      </c>
      <c r="B228" t="s">
        <v>17</v>
      </c>
      <c r="C228" t="s">
        <v>18</v>
      </c>
      <c r="D228" t="s">
        <v>19</v>
      </c>
      <c r="E228" t="s">
        <v>18</v>
      </c>
      <c r="F228">
        <v>1736</v>
      </c>
      <c r="G228" t="s">
        <v>20</v>
      </c>
      <c r="H228" t="s">
        <v>837</v>
      </c>
      <c r="I228" t="s">
        <v>838</v>
      </c>
      <c r="J228" t="s">
        <v>839</v>
      </c>
      <c r="K228" t="s">
        <v>840</v>
      </c>
      <c r="L228">
        <v>79.900000000000006</v>
      </c>
      <c r="M228" t="s">
        <v>25</v>
      </c>
      <c r="N228" t="s">
        <v>841</v>
      </c>
      <c r="O228" t="s">
        <v>790</v>
      </c>
      <c r="P228" t="s">
        <v>791</v>
      </c>
      <c r="Q228" t="s">
        <v>1125</v>
      </c>
    </row>
    <row r="229" spans="1:17">
      <c r="A229">
        <v>125938</v>
      </c>
      <c r="B229" t="s">
        <v>17</v>
      </c>
      <c r="C229" t="s">
        <v>35</v>
      </c>
      <c r="D229" t="s">
        <v>19</v>
      </c>
      <c r="E229" t="s">
        <v>35</v>
      </c>
      <c r="F229">
        <v>1204</v>
      </c>
      <c r="G229" t="s">
        <v>20</v>
      </c>
      <c r="H229" t="s">
        <v>842</v>
      </c>
      <c r="I229" t="s">
        <v>843</v>
      </c>
      <c r="J229" t="s">
        <v>844</v>
      </c>
      <c r="K229" t="s">
        <v>845</v>
      </c>
      <c r="L229">
        <v>49.9</v>
      </c>
      <c r="M229" t="s">
        <v>25</v>
      </c>
      <c r="N229" t="s">
        <v>846</v>
      </c>
      <c r="O229" t="s">
        <v>790</v>
      </c>
      <c r="P229" t="s">
        <v>791</v>
      </c>
      <c r="Q229" t="s">
        <v>1126</v>
      </c>
    </row>
    <row r="230" spans="1:17">
      <c r="A230">
        <v>122809</v>
      </c>
      <c r="B230" t="s">
        <v>34</v>
      </c>
      <c r="C230" t="s">
        <v>18</v>
      </c>
      <c r="D230" t="s">
        <v>19</v>
      </c>
      <c r="E230" t="s">
        <v>35</v>
      </c>
      <c r="F230">
        <v>1592</v>
      </c>
      <c r="G230" t="s">
        <v>20</v>
      </c>
      <c r="H230" t="s">
        <v>847</v>
      </c>
      <c r="I230" t="s">
        <v>848</v>
      </c>
      <c r="J230" t="s">
        <v>849</v>
      </c>
      <c r="K230" t="s">
        <v>850</v>
      </c>
      <c r="L230">
        <v>49.9</v>
      </c>
      <c r="M230" t="s">
        <v>25</v>
      </c>
      <c r="N230" t="s">
        <v>851</v>
      </c>
      <c r="O230" t="s">
        <v>790</v>
      </c>
      <c r="P230" t="s">
        <v>791</v>
      </c>
      <c r="Q230" t="s">
        <v>1126</v>
      </c>
    </row>
    <row r="231" spans="1:17">
      <c r="A231">
        <v>181502</v>
      </c>
      <c r="B231" t="s">
        <v>56</v>
      </c>
      <c r="C231" t="s">
        <v>35</v>
      </c>
      <c r="D231" t="s">
        <v>19</v>
      </c>
      <c r="E231" t="s">
        <v>18</v>
      </c>
      <c r="F231">
        <v>2591</v>
      </c>
      <c r="G231" t="s">
        <v>20</v>
      </c>
      <c r="H231" t="s">
        <v>852</v>
      </c>
      <c r="I231" t="s">
        <v>853</v>
      </c>
      <c r="J231" t="s">
        <v>854</v>
      </c>
      <c r="K231" t="s">
        <v>855</v>
      </c>
      <c r="L231">
        <v>39.9</v>
      </c>
      <c r="M231" t="s">
        <v>25</v>
      </c>
      <c r="N231" t="s">
        <v>856</v>
      </c>
      <c r="O231" t="s">
        <v>790</v>
      </c>
      <c r="P231" t="s">
        <v>791</v>
      </c>
      <c r="Q231" t="s">
        <v>1126</v>
      </c>
    </row>
    <row r="232" spans="1:17">
      <c r="A232">
        <v>182779</v>
      </c>
      <c r="B232" t="s">
        <v>34</v>
      </c>
      <c r="C232" t="s">
        <v>35</v>
      </c>
      <c r="D232" t="s">
        <v>19</v>
      </c>
      <c r="E232" t="s">
        <v>35</v>
      </c>
      <c r="F232">
        <v>2097</v>
      </c>
      <c r="G232" t="s">
        <v>20</v>
      </c>
      <c r="H232" t="s">
        <v>857</v>
      </c>
      <c r="I232" t="s">
        <v>858</v>
      </c>
      <c r="J232" t="s">
        <v>859</v>
      </c>
      <c r="K232" t="s">
        <v>860</v>
      </c>
      <c r="L232">
        <v>35.9</v>
      </c>
      <c r="M232" t="s">
        <v>25</v>
      </c>
      <c r="N232" t="s">
        <v>861</v>
      </c>
      <c r="O232" t="s">
        <v>790</v>
      </c>
      <c r="P232" t="s">
        <v>791</v>
      </c>
      <c r="Q232" t="s">
        <v>1126</v>
      </c>
    </row>
    <row r="233" spans="1:17">
      <c r="A233">
        <v>155674</v>
      </c>
      <c r="B233" t="s">
        <v>56</v>
      </c>
      <c r="C233" t="s">
        <v>18</v>
      </c>
      <c r="D233" t="s">
        <v>19</v>
      </c>
      <c r="E233" t="s">
        <v>18</v>
      </c>
      <c r="F233">
        <v>897</v>
      </c>
      <c r="G233" t="s">
        <v>20</v>
      </c>
      <c r="H233" t="s">
        <v>862</v>
      </c>
      <c r="I233" t="s">
        <v>863</v>
      </c>
      <c r="J233" t="s">
        <v>864</v>
      </c>
      <c r="K233" t="s">
        <v>865</v>
      </c>
      <c r="L233">
        <v>49.9</v>
      </c>
      <c r="M233" t="s">
        <v>25</v>
      </c>
      <c r="N233" t="s">
        <v>866</v>
      </c>
      <c r="O233" t="s">
        <v>790</v>
      </c>
      <c r="P233" t="s">
        <v>791</v>
      </c>
      <c r="Q233" t="s">
        <v>1126</v>
      </c>
    </row>
    <row r="234" spans="1:17">
      <c r="A234">
        <v>182866</v>
      </c>
      <c r="B234" t="s">
        <v>17</v>
      </c>
      <c r="C234" t="s">
        <v>18</v>
      </c>
      <c r="D234" t="s">
        <v>19</v>
      </c>
      <c r="E234" t="s">
        <v>35</v>
      </c>
      <c r="F234">
        <v>1552</v>
      </c>
      <c r="G234" t="s">
        <v>20</v>
      </c>
      <c r="H234" t="s">
        <v>867</v>
      </c>
      <c r="I234" t="s">
        <v>868</v>
      </c>
      <c r="J234" t="s">
        <v>869</v>
      </c>
      <c r="K234" t="s">
        <v>870</v>
      </c>
      <c r="L234">
        <v>39.9</v>
      </c>
      <c r="M234" t="s">
        <v>25</v>
      </c>
      <c r="N234" t="s">
        <v>871</v>
      </c>
      <c r="O234" t="s">
        <v>790</v>
      </c>
      <c r="P234" t="s">
        <v>791</v>
      </c>
      <c r="Q234" t="s">
        <v>1126</v>
      </c>
    </row>
    <row r="235" spans="1:17">
      <c r="A235">
        <v>148230</v>
      </c>
      <c r="B235" t="s">
        <v>56</v>
      </c>
      <c r="C235" t="s">
        <v>35</v>
      </c>
      <c r="D235" t="s">
        <v>19</v>
      </c>
      <c r="E235" t="s">
        <v>18</v>
      </c>
      <c r="F235">
        <v>2494</v>
      </c>
      <c r="G235" t="s">
        <v>20</v>
      </c>
      <c r="H235" t="s">
        <v>872</v>
      </c>
      <c r="I235" t="s">
        <v>873</v>
      </c>
      <c r="J235" t="s">
        <v>874</v>
      </c>
      <c r="K235" t="s">
        <v>875</v>
      </c>
      <c r="L235">
        <v>59.9</v>
      </c>
      <c r="M235" t="s">
        <v>25</v>
      </c>
      <c r="N235" t="s">
        <v>876</v>
      </c>
      <c r="O235" t="s">
        <v>790</v>
      </c>
      <c r="P235" t="s">
        <v>791</v>
      </c>
      <c r="Q235" t="s">
        <v>1125</v>
      </c>
    </row>
    <row r="236" spans="1:17">
      <c r="A236">
        <v>126979</v>
      </c>
      <c r="B236" t="s">
        <v>56</v>
      </c>
      <c r="C236" t="s">
        <v>18</v>
      </c>
      <c r="D236" t="s">
        <v>19</v>
      </c>
      <c r="E236" t="s">
        <v>18</v>
      </c>
      <c r="F236">
        <v>2141</v>
      </c>
      <c r="G236" t="s">
        <v>20</v>
      </c>
      <c r="H236" t="s">
        <v>877</v>
      </c>
      <c r="I236" t="s">
        <v>878</v>
      </c>
      <c r="J236" t="s">
        <v>879</v>
      </c>
      <c r="K236" t="s">
        <v>880</v>
      </c>
      <c r="L236">
        <v>49.9</v>
      </c>
      <c r="M236" t="s">
        <v>25</v>
      </c>
      <c r="N236" t="s">
        <v>881</v>
      </c>
      <c r="O236" t="s">
        <v>790</v>
      </c>
      <c r="P236" t="s">
        <v>791</v>
      </c>
      <c r="Q236" t="s">
        <v>1126</v>
      </c>
    </row>
    <row r="237" spans="1:17">
      <c r="A237">
        <v>135521</v>
      </c>
      <c r="B237" t="s">
        <v>34</v>
      </c>
      <c r="C237" t="s">
        <v>18</v>
      </c>
      <c r="D237" t="s">
        <v>19</v>
      </c>
      <c r="E237" t="s">
        <v>35</v>
      </c>
      <c r="F237">
        <v>2835</v>
      </c>
      <c r="G237" t="s">
        <v>20</v>
      </c>
      <c r="H237" t="s">
        <v>882</v>
      </c>
      <c r="I237" t="s">
        <v>883</v>
      </c>
      <c r="J237" t="s">
        <v>884</v>
      </c>
      <c r="K237" t="s">
        <v>885</v>
      </c>
      <c r="L237">
        <v>39.9</v>
      </c>
      <c r="M237" t="s">
        <v>25</v>
      </c>
      <c r="N237" t="s">
        <v>886</v>
      </c>
      <c r="O237" t="s">
        <v>790</v>
      </c>
      <c r="P237" t="s">
        <v>791</v>
      </c>
      <c r="Q237" t="s">
        <v>1126</v>
      </c>
    </row>
    <row r="238" spans="1:17">
      <c r="A238">
        <v>185809</v>
      </c>
      <c r="B238" t="s">
        <v>34</v>
      </c>
      <c r="C238" t="s">
        <v>18</v>
      </c>
      <c r="D238" t="s">
        <v>19</v>
      </c>
      <c r="E238" t="s">
        <v>18</v>
      </c>
      <c r="F238">
        <v>622</v>
      </c>
      <c r="G238" t="s">
        <v>20</v>
      </c>
      <c r="H238" t="s">
        <v>887</v>
      </c>
      <c r="I238" t="s">
        <v>888</v>
      </c>
      <c r="J238" t="s">
        <v>889</v>
      </c>
      <c r="K238" t="s">
        <v>890</v>
      </c>
      <c r="L238">
        <v>49.9</v>
      </c>
      <c r="M238" t="s">
        <v>25</v>
      </c>
      <c r="N238" t="s">
        <v>891</v>
      </c>
      <c r="O238" t="s">
        <v>790</v>
      </c>
      <c r="P238" t="s">
        <v>791</v>
      </c>
      <c r="Q238" t="s">
        <v>1126</v>
      </c>
    </row>
    <row r="239" spans="1:17">
      <c r="A239">
        <v>171520</v>
      </c>
      <c r="B239" t="s">
        <v>34</v>
      </c>
      <c r="C239" t="s">
        <v>35</v>
      </c>
      <c r="D239" t="s">
        <v>19</v>
      </c>
      <c r="E239" t="s">
        <v>35</v>
      </c>
      <c r="F239">
        <v>2901</v>
      </c>
      <c r="G239" t="s">
        <v>20</v>
      </c>
      <c r="H239" t="s">
        <v>892</v>
      </c>
      <c r="I239" t="s">
        <v>893</v>
      </c>
      <c r="J239" t="s">
        <v>894</v>
      </c>
      <c r="K239" t="s">
        <v>895</v>
      </c>
      <c r="L239">
        <v>47.9</v>
      </c>
      <c r="M239" t="s">
        <v>25</v>
      </c>
      <c r="N239" t="s">
        <v>896</v>
      </c>
      <c r="O239" t="s">
        <v>790</v>
      </c>
      <c r="P239" t="s">
        <v>791</v>
      </c>
      <c r="Q239" t="s">
        <v>1126</v>
      </c>
    </row>
    <row r="240" spans="1:17">
      <c r="A240">
        <v>122926</v>
      </c>
      <c r="B240" t="s">
        <v>34</v>
      </c>
      <c r="C240" t="s">
        <v>18</v>
      </c>
      <c r="D240" t="s">
        <v>19</v>
      </c>
      <c r="E240" t="s">
        <v>18</v>
      </c>
      <c r="F240">
        <v>867</v>
      </c>
      <c r="G240" t="s">
        <v>20</v>
      </c>
      <c r="H240" t="s">
        <v>897</v>
      </c>
      <c r="I240" t="s">
        <v>898</v>
      </c>
      <c r="J240" t="s">
        <v>899</v>
      </c>
      <c r="K240" t="s">
        <v>900</v>
      </c>
      <c r="L240">
        <v>45.9</v>
      </c>
      <c r="M240" t="s">
        <v>25</v>
      </c>
      <c r="N240" t="s">
        <v>901</v>
      </c>
      <c r="O240" t="s">
        <v>790</v>
      </c>
      <c r="P240" t="s">
        <v>791</v>
      </c>
      <c r="Q240" t="s">
        <v>1126</v>
      </c>
    </row>
    <row r="241" spans="1:17">
      <c r="A241">
        <v>150953</v>
      </c>
      <c r="B241" t="s">
        <v>56</v>
      </c>
      <c r="C241" t="s">
        <v>35</v>
      </c>
      <c r="D241" t="s">
        <v>19</v>
      </c>
      <c r="E241" t="s">
        <v>35</v>
      </c>
      <c r="F241">
        <v>2434</v>
      </c>
      <c r="G241" t="s">
        <v>20</v>
      </c>
      <c r="H241" t="s">
        <v>902</v>
      </c>
      <c r="I241" t="s">
        <v>903</v>
      </c>
      <c r="J241" t="s">
        <v>904</v>
      </c>
      <c r="K241" t="s">
        <v>905</v>
      </c>
      <c r="L241">
        <v>35.9</v>
      </c>
      <c r="M241" t="s">
        <v>25</v>
      </c>
      <c r="N241" t="s">
        <v>906</v>
      </c>
      <c r="O241" t="s">
        <v>790</v>
      </c>
      <c r="P241" t="s">
        <v>791</v>
      </c>
      <c r="Q241" t="s">
        <v>1126</v>
      </c>
    </row>
    <row r="242" spans="1:17">
      <c r="A242">
        <v>115873</v>
      </c>
      <c r="B242" t="s">
        <v>34</v>
      </c>
      <c r="C242" t="s">
        <v>35</v>
      </c>
      <c r="D242" t="s">
        <v>19</v>
      </c>
      <c r="E242" t="s">
        <v>35</v>
      </c>
      <c r="F242">
        <v>2606</v>
      </c>
      <c r="G242" t="s">
        <v>20</v>
      </c>
      <c r="H242" t="s">
        <v>907</v>
      </c>
      <c r="I242" t="s">
        <v>908</v>
      </c>
      <c r="J242" t="s">
        <v>909</v>
      </c>
      <c r="K242" t="s">
        <v>910</v>
      </c>
      <c r="L242">
        <v>59.9</v>
      </c>
      <c r="M242" t="s">
        <v>25</v>
      </c>
      <c r="N242" t="s">
        <v>911</v>
      </c>
      <c r="O242" t="s">
        <v>790</v>
      </c>
      <c r="P242" t="s">
        <v>791</v>
      </c>
      <c r="Q242" t="s">
        <v>1125</v>
      </c>
    </row>
    <row r="243" spans="1:17">
      <c r="A243">
        <v>115581</v>
      </c>
      <c r="B243" t="s">
        <v>17</v>
      </c>
      <c r="C243" t="s">
        <v>18</v>
      </c>
      <c r="D243" t="s">
        <v>19</v>
      </c>
      <c r="E243" t="s">
        <v>35</v>
      </c>
      <c r="F243">
        <v>2728</v>
      </c>
      <c r="G243" t="s">
        <v>20</v>
      </c>
      <c r="H243" t="s">
        <v>912</v>
      </c>
      <c r="I243" t="s">
        <v>913</v>
      </c>
      <c r="J243" t="s">
        <v>914</v>
      </c>
      <c r="K243" t="s">
        <v>915</v>
      </c>
      <c r="L243">
        <v>47.9</v>
      </c>
      <c r="M243" t="s">
        <v>25</v>
      </c>
      <c r="N243" t="s">
        <v>916</v>
      </c>
      <c r="O243" t="s">
        <v>790</v>
      </c>
      <c r="P243" t="s">
        <v>791</v>
      </c>
      <c r="Q243" t="s">
        <v>1126</v>
      </c>
    </row>
    <row r="244" spans="1:17">
      <c r="A244">
        <v>183634</v>
      </c>
      <c r="B244" t="s">
        <v>56</v>
      </c>
      <c r="C244" t="s">
        <v>35</v>
      </c>
      <c r="D244" t="s">
        <v>19</v>
      </c>
      <c r="E244" t="s">
        <v>35</v>
      </c>
      <c r="F244">
        <v>2778</v>
      </c>
      <c r="G244" t="s">
        <v>20</v>
      </c>
      <c r="H244" t="s">
        <v>917</v>
      </c>
      <c r="I244" t="s">
        <v>918</v>
      </c>
      <c r="J244" t="s">
        <v>919</v>
      </c>
      <c r="K244" t="s">
        <v>920</v>
      </c>
      <c r="L244">
        <v>27.9</v>
      </c>
      <c r="M244" t="s">
        <v>25</v>
      </c>
      <c r="N244" t="s">
        <v>921</v>
      </c>
      <c r="O244" t="s">
        <v>790</v>
      </c>
      <c r="P244" t="s">
        <v>791</v>
      </c>
      <c r="Q244" t="s">
        <v>1126</v>
      </c>
    </row>
    <row r="245" spans="1:17">
      <c r="A245">
        <v>122484</v>
      </c>
      <c r="B245" t="s">
        <v>17</v>
      </c>
      <c r="C245" t="s">
        <v>35</v>
      </c>
      <c r="D245" t="s">
        <v>19</v>
      </c>
      <c r="E245" t="s">
        <v>35</v>
      </c>
      <c r="F245">
        <v>558</v>
      </c>
      <c r="G245" t="s">
        <v>20</v>
      </c>
      <c r="H245" t="s">
        <v>922</v>
      </c>
      <c r="I245" t="s">
        <v>923</v>
      </c>
      <c r="J245" t="s">
        <v>924</v>
      </c>
      <c r="K245" t="s">
        <v>925</v>
      </c>
      <c r="L245">
        <v>47.9</v>
      </c>
      <c r="M245" t="s">
        <v>25</v>
      </c>
      <c r="N245" t="s">
        <v>926</v>
      </c>
      <c r="O245" t="s">
        <v>790</v>
      </c>
      <c r="P245" t="s">
        <v>791</v>
      </c>
      <c r="Q245" t="s">
        <v>1126</v>
      </c>
    </row>
    <row r="246" spans="1:17">
      <c r="A246">
        <v>183574</v>
      </c>
      <c r="B246" t="s">
        <v>17</v>
      </c>
      <c r="C246" t="s">
        <v>35</v>
      </c>
      <c r="D246" t="s">
        <v>19</v>
      </c>
      <c r="E246" t="s">
        <v>35</v>
      </c>
      <c r="F246">
        <v>1752</v>
      </c>
      <c r="G246" t="s">
        <v>20</v>
      </c>
      <c r="H246" t="s">
        <v>927</v>
      </c>
      <c r="I246" t="s">
        <v>928</v>
      </c>
      <c r="J246" t="s">
        <v>929</v>
      </c>
      <c r="K246" t="s">
        <v>930</v>
      </c>
      <c r="L246">
        <v>47.9</v>
      </c>
      <c r="M246" t="s">
        <v>25</v>
      </c>
      <c r="N246" t="s">
        <v>931</v>
      </c>
      <c r="O246" t="s">
        <v>790</v>
      </c>
      <c r="P246" t="s">
        <v>791</v>
      </c>
      <c r="Q246" t="s">
        <v>1126</v>
      </c>
    </row>
    <row r="247" spans="1:17">
      <c r="A247">
        <v>185307</v>
      </c>
      <c r="B247" t="s">
        <v>56</v>
      </c>
      <c r="C247" t="s">
        <v>18</v>
      </c>
      <c r="D247" t="s">
        <v>19</v>
      </c>
      <c r="E247" t="s">
        <v>35</v>
      </c>
      <c r="F247">
        <v>2743</v>
      </c>
      <c r="G247" t="s">
        <v>20</v>
      </c>
      <c r="H247" t="s">
        <v>932</v>
      </c>
      <c r="I247" t="s">
        <v>933</v>
      </c>
      <c r="J247" t="s">
        <v>934</v>
      </c>
      <c r="K247" t="s">
        <v>935</v>
      </c>
      <c r="L247">
        <v>7.99</v>
      </c>
      <c r="M247" t="s">
        <v>25</v>
      </c>
      <c r="N247" t="s">
        <v>936</v>
      </c>
      <c r="O247" t="s">
        <v>790</v>
      </c>
      <c r="P247" t="s">
        <v>791</v>
      </c>
      <c r="Q247" t="s">
        <v>1124</v>
      </c>
    </row>
    <row r="248" spans="1:17">
      <c r="A248">
        <v>118719</v>
      </c>
      <c r="B248" t="s">
        <v>34</v>
      </c>
      <c r="C248" t="s">
        <v>18</v>
      </c>
      <c r="D248" t="s">
        <v>19</v>
      </c>
      <c r="E248" t="s">
        <v>35</v>
      </c>
      <c r="F248">
        <v>1669</v>
      </c>
      <c r="G248" t="s">
        <v>20</v>
      </c>
      <c r="H248" t="s">
        <v>937</v>
      </c>
      <c r="I248" t="s">
        <v>938</v>
      </c>
      <c r="J248" t="s">
        <v>939</v>
      </c>
      <c r="K248" t="s">
        <v>940</v>
      </c>
      <c r="L248">
        <v>45.9</v>
      </c>
      <c r="M248" t="s">
        <v>25</v>
      </c>
      <c r="N248" t="s">
        <v>941</v>
      </c>
      <c r="O248" t="s">
        <v>790</v>
      </c>
      <c r="P248" t="s">
        <v>791</v>
      </c>
      <c r="Q248" t="s">
        <v>1126</v>
      </c>
    </row>
    <row r="249" spans="1:17">
      <c r="A249">
        <v>134788</v>
      </c>
      <c r="B249" t="s">
        <v>56</v>
      </c>
      <c r="C249" t="s">
        <v>18</v>
      </c>
      <c r="D249" t="s">
        <v>19</v>
      </c>
      <c r="E249" t="s">
        <v>18</v>
      </c>
      <c r="F249">
        <v>2179</v>
      </c>
      <c r="G249" t="s">
        <v>20</v>
      </c>
      <c r="H249" t="s">
        <v>942</v>
      </c>
      <c r="I249" t="s">
        <v>943</v>
      </c>
      <c r="J249" t="s">
        <v>944</v>
      </c>
      <c r="K249" t="s">
        <v>945</v>
      </c>
      <c r="L249">
        <v>45.9</v>
      </c>
      <c r="M249" t="s">
        <v>25</v>
      </c>
      <c r="N249" t="s">
        <v>946</v>
      </c>
      <c r="O249" t="s">
        <v>790</v>
      </c>
      <c r="P249" t="s">
        <v>791</v>
      </c>
      <c r="Q249" t="s">
        <v>1126</v>
      </c>
    </row>
    <row r="250" spans="1:17">
      <c r="A250">
        <v>140142</v>
      </c>
      <c r="B250" t="s">
        <v>56</v>
      </c>
      <c r="C250" t="s">
        <v>35</v>
      </c>
      <c r="D250" t="s">
        <v>19</v>
      </c>
      <c r="E250" t="s">
        <v>18</v>
      </c>
      <c r="F250">
        <v>606</v>
      </c>
      <c r="G250" t="s">
        <v>20</v>
      </c>
      <c r="H250" t="s">
        <v>947</v>
      </c>
      <c r="I250" t="s">
        <v>948</v>
      </c>
      <c r="J250" t="s">
        <v>949</v>
      </c>
      <c r="K250" t="s">
        <v>950</v>
      </c>
      <c r="L250">
        <v>49.9</v>
      </c>
      <c r="M250" t="s">
        <v>25</v>
      </c>
      <c r="N250" t="s">
        <v>951</v>
      </c>
      <c r="O250" t="s">
        <v>790</v>
      </c>
      <c r="P250" t="s">
        <v>791</v>
      </c>
      <c r="Q250" t="s">
        <v>1126</v>
      </c>
    </row>
    <row r="251" spans="1:17">
      <c r="A251">
        <v>153997</v>
      </c>
      <c r="B251" t="s">
        <v>34</v>
      </c>
      <c r="C251" t="s">
        <v>18</v>
      </c>
      <c r="D251" t="s">
        <v>19</v>
      </c>
      <c r="E251" t="s">
        <v>35</v>
      </c>
      <c r="F251">
        <v>1608</v>
      </c>
      <c r="G251" t="s">
        <v>20</v>
      </c>
      <c r="H251" t="s">
        <v>952</v>
      </c>
      <c r="I251" t="s">
        <v>953</v>
      </c>
      <c r="J251" t="s">
        <v>954</v>
      </c>
      <c r="K251" t="s">
        <v>955</v>
      </c>
      <c r="L251">
        <v>45.9</v>
      </c>
      <c r="M251" t="s">
        <v>25</v>
      </c>
      <c r="N251" t="s">
        <v>956</v>
      </c>
      <c r="O251" t="s">
        <v>790</v>
      </c>
      <c r="P251" t="s">
        <v>791</v>
      </c>
      <c r="Q251" t="s">
        <v>1126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2B0C-C2C1-46E1-B96A-015BBDC3A2C1}">
  <dimension ref="A1:I14"/>
  <sheetViews>
    <sheetView showGridLines="0" workbookViewId="0">
      <selection activeCell="F15" sqref="F15"/>
    </sheetView>
  </sheetViews>
  <sheetFormatPr defaultColWidth="11.42578125" defaultRowHeight="14.45"/>
  <cols>
    <col min="1" max="1" width="16.5703125" bestFit="1" customWidth="1"/>
    <col min="2" max="2" width="16.42578125" bestFit="1" customWidth="1"/>
    <col min="3" max="3" width="14.140625" bestFit="1" customWidth="1"/>
    <col min="6" max="6" width="12.85546875" bestFit="1" customWidth="1"/>
    <col min="7" max="7" width="19.7109375" bestFit="1" customWidth="1"/>
  </cols>
  <sheetData>
    <row r="1" spans="1:9">
      <c r="A1" s="2" t="s">
        <v>16</v>
      </c>
      <c r="B1" t="s">
        <v>1127</v>
      </c>
    </row>
    <row r="2" spans="1:9">
      <c r="G2">
        <f>SUM(G4:G6)</f>
        <v>250</v>
      </c>
    </row>
    <row r="3" spans="1:9">
      <c r="A3" s="2" t="s">
        <v>1128</v>
      </c>
      <c r="B3" t="s">
        <v>1129</v>
      </c>
      <c r="C3" t="s">
        <v>1130</v>
      </c>
      <c r="E3" s="4"/>
      <c r="F3" s="2" t="s">
        <v>16</v>
      </c>
      <c r="G3" t="s">
        <v>1131</v>
      </c>
    </row>
    <row r="4" spans="1:9">
      <c r="A4" s="3" t="s">
        <v>28</v>
      </c>
      <c r="B4">
        <v>90.693333333333371</v>
      </c>
      <c r="C4">
        <v>216</v>
      </c>
      <c r="E4">
        <f>G6</f>
        <v>179</v>
      </c>
      <c r="F4" t="s">
        <v>1126</v>
      </c>
      <c r="G4">
        <v>55</v>
      </c>
      <c r="I4">
        <f>B5</f>
        <v>50.52588235294121</v>
      </c>
    </row>
    <row r="5" spans="1:9">
      <c r="A5" s="3" t="s">
        <v>791</v>
      </c>
      <c r="B5">
        <v>50.52588235294121</v>
      </c>
      <c r="C5">
        <v>34</v>
      </c>
      <c r="E5">
        <f>G7</f>
        <v>250</v>
      </c>
      <c r="F5" t="s">
        <v>1124</v>
      </c>
      <c r="G5">
        <v>16</v>
      </c>
    </row>
    <row r="6" spans="1:9">
      <c r="A6" s="3" t="s">
        <v>1132</v>
      </c>
      <c r="B6" s="5">
        <v>85.230560000000224</v>
      </c>
      <c r="C6">
        <v>250</v>
      </c>
      <c r="E6" s="4">
        <f>G6/G7</f>
        <v>0.71599999999999997</v>
      </c>
      <c r="F6" t="s">
        <v>1125</v>
      </c>
      <c r="G6">
        <v>179</v>
      </c>
    </row>
    <row r="7" spans="1:9">
      <c r="B7" s="5">
        <f>B6</f>
        <v>85.230560000000224</v>
      </c>
      <c r="E7" s="4">
        <f>IFERROR(E4/E5,0)</f>
        <v>0.71599999999999997</v>
      </c>
      <c r="F7" t="s">
        <v>1132</v>
      </c>
      <c r="G7">
        <v>250</v>
      </c>
    </row>
    <row r="8" spans="1:9">
      <c r="B8" s="7">
        <f>IFERROR(B6,0)</f>
        <v>85.230560000000224</v>
      </c>
    </row>
    <row r="11" spans="1:9">
      <c r="A11" s="2" t="s">
        <v>1128</v>
      </c>
      <c r="B11" t="s">
        <v>1129</v>
      </c>
    </row>
    <row r="12" spans="1:9">
      <c r="A12" s="3" t="s">
        <v>28</v>
      </c>
      <c r="B12">
        <v>90.693333333333371</v>
      </c>
    </row>
    <row r="13" spans="1:9">
      <c r="A13" s="3" t="s">
        <v>791</v>
      </c>
      <c r="B13">
        <v>50.52588235294121</v>
      </c>
    </row>
    <row r="14" spans="1:9">
      <c r="A14" s="3" t="s">
        <v>1132</v>
      </c>
      <c r="B14" s="5">
        <v>85.230560000000224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537B-D499-49FD-9C89-433965A868FF}">
  <dimension ref="A1"/>
  <sheetViews>
    <sheetView showGridLines="0" tabSelected="1" workbookViewId="0">
      <selection activeCell="Q11" sqref="Q11"/>
    </sheetView>
  </sheetViews>
  <sheetFormatPr defaultColWidth="11.5703125" defaultRowHeight="14.45"/>
  <cols>
    <col min="1" max="16384" width="11.570312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Sebastian Mayorga</cp:lastModifiedBy>
  <cp:revision/>
  <dcterms:created xsi:type="dcterms:W3CDTF">2026-02-19T21:22:14Z</dcterms:created>
  <dcterms:modified xsi:type="dcterms:W3CDTF">2026-03-24T20:07:09Z</dcterms:modified>
  <cp:category/>
  <cp:contentStatus/>
</cp:coreProperties>
</file>